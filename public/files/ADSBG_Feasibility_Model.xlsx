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Benchmark Data" sheetId="2" state="visible" r:id="rId4"/>
    <sheet name="Exposure Model" sheetId="3" state="visible" r:id="rId5"/>
    <sheet name="Growth Projection" sheetId="4" state="visible" r:id="rId6"/>
    <sheet name="Funding Gap"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<sst xmlns="http://schemas.openxmlformats.org/spreadsheetml/2006/main" count="116" uniqueCount="92">
  <si>
    <t xml:space="preserve">ADSBG Feasibility Model — AI &amp; Deep-Tech Survival Bridge Guarantee</t>
  </si>
  <si>
    <t xml:space="preserve">Purpose</t>
  </si>
  <si>
    <t xml:space="preserve">Simple, scenario-based model estimating ADSBG's fiscal exposure and likely growth trajectory, benchmarked against CGTMSE and CGSS — India's existing credit guarantee schemes for MSMEs and startups.</t>
  </si>
  <si>
    <t xml:space="preserve">Sheets in this workbook</t>
  </si>
  <si>
    <t xml:space="preserve">1. Benchmark Data — sourced, linked figures for CGTMSE and CGSS. Click any source link to verify.</t>
  </si>
  <si>
    <t xml:space="preserve">2. Exposure Model — change the yellow input cells (guarantee %, fee %, default rate, loan size, volume) and every output recalculates.</t>
  </si>
  <si>
    <t xml:space="preserve">3. Growth Projection — a 10-year forecast for ADSBG modelled against how CGTMSE and CGSS actually scaled, with a chart.</t>
  </si>
  <si>
    <t xml:space="preserve">4. Funding Gap — India's AI investment vs US/China, linked sources.</t>
  </si>
  <si>
    <t xml:space="preserve">Legend</t>
  </si>
  <si>
    <t xml:space="preserve">Yellow fill = input cell, change this to test a scenario</t>
  </si>
  <si>
    <t xml:space="preserve">Blue underlined text = clickable source link</t>
  </si>
  <si>
    <t xml:space="preserve">Black text = formula, do not overwrite</t>
  </si>
  <si>
    <t xml:space="preserve">CGTMSE and CGSS — Historical Performance</t>
  </si>
  <si>
    <t xml:space="preserve">CGTMSE (Credit Guarantee Fund Trust for Micro and Small Enterprises)</t>
  </si>
  <si>
    <t xml:space="preserve">Metric</t>
  </si>
  <si>
    <t xml:space="preserve">Value</t>
  </si>
  <si>
    <t xml:space="preserve">As of</t>
  </si>
  <si>
    <t xml:space="preserve">Source (click to open)</t>
  </si>
  <si>
    <t xml:space="preserve">Year launched</t>
  </si>
  <si>
    <t xml:space="preserve">—</t>
  </si>
  <si>
    <t xml:space="preserve">CGTMSE official site</t>
  </si>
  <si>
    <t xml:space="preserve">Cumulative guarantees approved (count)</t>
  </si>
  <si>
    <t xml:space="preserve">1.22 crore</t>
  </si>
  <si>
    <t xml:space="preserve">Jul 2025</t>
  </si>
  <si>
    <t xml:space="preserve">Financial Express B2B, Aug 2025</t>
  </si>
  <si>
    <t xml:space="preserve">Cumulative guarantees approved (value)</t>
  </si>
  <si>
    <t xml:space="preserve">Rs 10.50 lakh crore</t>
  </si>
  <si>
    <t xml:space="preserve">Guarantee cover</t>
  </si>
  <si>
    <t xml:space="preserve">Up to 85%</t>
  </si>
  <si>
    <t xml:space="preserve">loans &lt;= Rs 10cr</t>
  </si>
  <si>
    <t xml:space="preserve">CGTMSE Annual Report 2024-25</t>
  </si>
  <si>
    <t xml:space="preserve">Gross MSME NPA under scheme</t>
  </si>
  <si>
    <t xml:space="preserve">11.03% -&gt; 3.59%</t>
  </si>
  <si>
    <t xml:space="preserve">FY20 -&gt; FY25</t>
  </si>
  <si>
    <t xml:space="preserve">CGSS (Credit Guarantee Scheme for Startups)</t>
  </si>
  <si>
    <t xml:space="preserve">Oct 2022</t>
  </si>
  <si>
    <t xml:space="preserve">PIB / DPIIT notification</t>
  </si>
  <si>
    <t xml:space="preserve">Guarantee ceiling per borrower</t>
  </si>
  <si>
    <t xml:space="preserve">Rs 20 crore (raised from Rs 10cr)</t>
  </si>
  <si>
    <t xml:space="preserve">May 2025</t>
  </si>
  <si>
    <t xml:space="preserve">PIB, May 2025</t>
  </si>
  <si>
    <t xml:space="preserve">Cumulative loans guaranteed (count)</t>
  </si>
  <si>
    <t xml:space="preserve">Jan 2025</t>
  </si>
  <si>
    <t xml:space="preserve">PIB Factsheet: India's Startup Revolution</t>
  </si>
  <si>
    <t xml:space="preserve">Cumulative loans guaranteed (value)</t>
  </si>
  <si>
    <t xml:space="preserve">Rs 604.16 crore</t>
  </si>
  <si>
    <t xml:space="preserve">Startups covered</t>
  </si>
  <si>
    <t xml:space="preserve">Takeaway: CGTMSE took 25 years to reach its current scale. CGSS, three years in, has guaranteed only Rs 604 crore. ADSBG should be modelled on CGSS's early trajectory, not CGTMSE's mature one.</t>
  </si>
  <si>
    <t xml:space="preserve">ADSBG — Simple Fiscal Exposure Model</t>
  </si>
  <si>
    <t xml:space="preserve">Change only the yellow cells. Everything else recalculates automatically.</t>
  </si>
  <si>
    <t xml:space="preserve">INPUTS (change these)</t>
  </si>
  <si>
    <t xml:space="preserve">Number of loans guaranteed (Year 1)</t>
  </si>
  <si>
    <t xml:space="preserve">Average loan size (Rs crore)</t>
  </si>
  <si>
    <t xml:space="preserve">Guarantee cover (%)</t>
  </si>
  <si>
    <t xml:space="preserve">Annual guarantee fee (% of loan value)</t>
  </si>
  <si>
    <t xml:space="preserve">Assumed default rate (%)</t>
  </si>
  <si>
    <t xml:space="preserve">Recovery rate on defaults (%)</t>
  </si>
  <si>
    <t xml:space="preserve">RESULTS (Year 1)</t>
  </si>
  <si>
    <t xml:space="preserve">Total loan value (Rs crore)</t>
  </si>
  <si>
    <t xml:space="preserve">Govt-guaranteed exposure (Rs crore)</t>
  </si>
  <si>
    <t xml:space="preserve">Premium income (Rs crore)</t>
  </si>
  <si>
    <t xml:space="preserve">Expected claim payout, net of recovery (Rs crore)</t>
  </si>
  <si>
    <t xml:space="preserve">Net fiscal position, Year 1 (Rs crore)</t>
  </si>
  <si>
    <t xml:space="preserve">Note: at the default inputs above, the fee income does not cover expected losses in Year 1 -- this tells you the fee rate likely needs to rise, or the government needs to accept a subsidised early phase the way CGSS's Champion Sector fee cut does.</t>
  </si>
  <si>
    <t xml:space="preserve">ADSBG Projected Growth vs CGTMSE and CGSS Actual Growth</t>
  </si>
  <si>
    <t xml:space="preserve">CGTMSE column uses its real 25-year path (approximated from public disclosures). CGSS uses its real 3-year path. ADSBG projects a CGSS-like slow start, based on the input growth rate below.</t>
  </si>
  <si>
    <t xml:space="preserve">ADSBG annual growth rate assumption (Year 2 onward)</t>
  </si>
  <si>
    <t xml:space="preserve">Year</t>
  </si>
  <si>
    <t xml:space="preserve">CGTMSE cumulative (Rs '000 cr)</t>
  </si>
  <si>
    <t xml:space="preserve">CGSS cumulative (Rs cr)</t>
  </si>
  <si>
    <t xml:space="preserve">ADSBG cumulative exposure (Rs cr), projected</t>
  </si>
  <si>
    <t xml:space="preserve">Read this as: CGTMSE numbers are in Rs '000 crore (i.e. 5 = Rs 5,000 crore), CGSS and ADSBG are in Rs crore directly -- scales differ because CGTMSE operates at a much larger absolute size.</t>
  </si>
  <si>
    <t xml:space="preserve">CGTMSE path is illustrative -- interpolated between its known 2000 start and 2025 endpoint (Rs 10.50 lakh crore), not a year-by-year sourced figure. Verify against CGTMSE annual reports before citing exact intermediate years.</t>
  </si>
  <si>
    <t xml:space="preserve">India's AI Funding Gap vs US and China</t>
  </si>
  <si>
    <t xml:space="preserve">Period</t>
  </si>
  <si>
    <t xml:space="preserve">Private AI investment -- USA</t>
  </si>
  <si>
    <t xml:space="preserve">$470.9 billion</t>
  </si>
  <si>
    <t xml:space="preserve">2013-2024</t>
  </si>
  <si>
    <t xml:space="preserve">Kotak Neo, May 2026</t>
  </si>
  <si>
    <t xml:space="preserve">Private AI investment -- China</t>
  </si>
  <si>
    <t xml:space="preserve">$119.3 billion</t>
  </si>
  <si>
    <t xml:space="preserve">Private AI investment -- India</t>
  </si>
  <si>
    <t xml:space="preserve">$11.1 billion</t>
  </si>
  <si>
    <t xml:space="preserve">AI data centre clusters -- China</t>
  </si>
  <si>
    <t xml:space="preserve">current</t>
  </si>
  <si>
    <t xml:space="preserve">AI data centre clusters -- USA</t>
  </si>
  <si>
    <t xml:space="preserve">AI data centre clusters -- India</t>
  </si>
  <si>
    <t xml:space="preserve">Total India startup funding, all sectors</t>
  </si>
  <si>
    <t xml:space="preserve">$10.5 billion</t>
  </si>
  <si>
    <t xml:space="preserve">2025</t>
  </si>
  <si>
    <t xml:space="preserve">TechCrunch, 2026</t>
  </si>
  <si>
    <t xml:space="preserve">India's cumulative private AI investment is 2.4% of the US figure and 9.3% of China's over the same window -- this gap, not the market-size projections, is the strongest case for ADSBG.</t>
  </si>
</sst>
</file>

<file path=xl/styles.xml><?xml version="1.0" encoding="utf-8"?>
<styleSheet xmlns="http://schemas.openxmlformats.org/spreadsheetml/2006/main">
  <numFmts count="4">
    <numFmt numFmtId="164" formatCode="General"/>
    <numFmt numFmtId="165" formatCode="#,##0"/>
    <numFmt numFmtId="166" formatCode="0.0%"/>
    <numFmt numFmtId="167" formatCode="#,##0.0"/>
  </numFmts>
  <fonts count="16">
    <font>
      <sz val="11"/>
      <color theme="1"/>
      <name val="Calibri"/>
      <family val="2"/>
      <charset val="1"/>
    </font>
    <font>
      <sz val="10"/>
      <name val="Arial"/>
      <family val="0"/>
    </font>
    <font>
      <sz val="10"/>
      <name val="Arial"/>
      <family val="0"/>
    </font>
    <font>
      <sz val="10"/>
      <name val="Arial"/>
      <family val="0"/>
    </font>
    <font>
      <b val="true"/>
      <sz val="16"/>
      <color rgb="FF1F4E78"/>
      <name val="Cambria"/>
      <family val="0"/>
      <charset val="1"/>
    </font>
    <font>
      <b val="true"/>
      <sz val="11"/>
      <name val="Cambria"/>
      <family val="0"/>
      <charset val="1"/>
    </font>
    <font>
      <u val="single"/>
      <sz val="11"/>
      <color rgb="FF0563C1"/>
      <name val="Cambria"/>
      <family val="0"/>
      <charset val="1"/>
    </font>
    <font>
      <sz val="11"/>
      <color rgb="FF000000"/>
      <name val="Cambria"/>
      <family val="0"/>
      <charset val="1"/>
    </font>
    <font>
      <b val="true"/>
      <sz val="14"/>
      <color rgb="FF1F4E78"/>
      <name val="Cambria"/>
      <family val="0"/>
      <charset val="1"/>
    </font>
    <font>
      <b val="true"/>
      <sz val="11"/>
      <color rgb="FFFFFFFF"/>
      <name val="Cambria"/>
      <family val="0"/>
      <charset val="1"/>
    </font>
    <font>
      <i val="true"/>
      <sz val="10"/>
      <name val="Cambria"/>
      <family val="0"/>
      <charset val="1"/>
    </font>
    <font>
      <sz val="11"/>
      <color rgb="FF0000FF"/>
      <name val="Cambria"/>
      <family val="0"/>
      <charset val="1"/>
    </font>
    <font>
      <i val="true"/>
      <sz val="9"/>
      <color rgb="FFC00000"/>
      <name val="Cambria"/>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true" applyAlignment="false" applyProtection="false">
      <alignment horizontal="general" vertical="bottom" textRotation="0" wrapText="false" indent="0" shrinkToFit="false"/>
      <protection locked="true" hidden="false"/>
    </xf>
    <xf numFmtId="165" fontId="11" fillId="2" borderId="1" xfId="0" applyFont="true" applyBorder="true" applyAlignment="false" applyProtection="false">
      <alignment horizontal="general" vertical="bottom" textRotation="0" wrapText="false" indent="0" shrinkToFit="false"/>
      <protection locked="true" hidden="false"/>
    </xf>
    <xf numFmtId="166" fontId="11" fillId="2"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9F9F9"/>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ADSBG projected exposure vs CGSS actual growth (Rs crore)</a:t>
            </a:r>
          </a:p>
        </c:rich>
      </c:tx>
      <c:overlay val="0"/>
      <c:spPr>
        <a:noFill/>
        <a:ln w="0">
          <a:noFill/>
        </a:ln>
      </c:spPr>
    </c:title>
    <c:autoTitleDeleted val="0"/>
    <c:plotArea>
      <c:lineChart>
        <c:grouping val="standard"/>
        <c:varyColors val="0"/>
        <c:ser>
          <c:idx val="0"/>
          <c:order val="0"/>
          <c:tx>
            <c:strRef>
              <c:f>'Growth Projection'!C6</c:f>
              <c:strCache>
                <c:ptCount val="1"/>
                <c:pt idx="0">
                  <c:v>CGSS cumulative (Rs cr)</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'Growth Projection'!$A$7:$A$16</c:f>
              <c:strCache>
                <c:ptCount val="10"/>
                <c:pt idx="0">
                  <c:v>1</c:v>
                </c:pt>
                <c:pt idx="1">
                  <c:v>2</c:v>
                </c:pt>
                <c:pt idx="2">
                  <c:v>3</c:v>
                </c:pt>
                <c:pt idx="3">
                  <c:v>4</c:v>
                </c:pt>
                <c:pt idx="4">
                  <c:v>5</c:v>
                </c:pt>
                <c:pt idx="5">
                  <c:v>6</c:v>
                </c:pt>
                <c:pt idx="6">
                  <c:v>7</c:v>
                </c:pt>
                <c:pt idx="7">
                  <c:v>8</c:v>
                </c:pt>
                <c:pt idx="8">
                  <c:v>9</c:v>
                </c:pt>
                <c:pt idx="9">
                  <c:v>10</c:v>
                </c:pt>
              </c:strCache>
            </c:strRef>
          </c:cat>
          <c:val>
            <c:numRef>
              <c:f>'Growth Projection'!$C$7:$C$16</c:f>
              <c:numCache>
                <c:formatCode>#,##0</c:formatCode>
                <c:ptCount val="10"/>
                <c:pt idx="0">
                  <c:v>0</c:v>
                </c:pt>
                <c:pt idx="1">
                  <c:v>120</c:v>
                </c:pt>
                <c:pt idx="2">
                  <c:v>604</c:v>
                </c:pt>
              </c:numCache>
            </c:numRef>
          </c:val>
          <c:smooth val="1"/>
        </c:ser>
        <c:ser>
          <c:idx val="1"/>
          <c:order val="1"/>
          <c:tx>
            <c:strRef>
              <c:f>'Growth Projection'!D6</c:f>
              <c:strCache>
                <c:ptCount val="1"/>
                <c:pt idx="0">
                  <c:v>ADSBG cumulative exposure (Rs cr), projected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'Growth Projection'!$A$7:$A$16</c:f>
              <c:strCache>
                <c:ptCount val="10"/>
                <c:pt idx="0">
                  <c:v>1</c:v>
                </c:pt>
                <c:pt idx="1">
                  <c:v>2</c:v>
                </c:pt>
                <c:pt idx="2">
                  <c:v>3</c:v>
                </c:pt>
                <c:pt idx="3">
                  <c:v>4</c:v>
                </c:pt>
                <c:pt idx="4">
                  <c:v>5</c:v>
                </c:pt>
                <c:pt idx="5">
                  <c:v>6</c:v>
                </c:pt>
                <c:pt idx="6">
                  <c:v>7</c:v>
                </c:pt>
                <c:pt idx="7">
                  <c:v>8</c:v>
                </c:pt>
                <c:pt idx="8">
                  <c:v>9</c:v>
                </c:pt>
                <c:pt idx="9">
                  <c:v>10</c:v>
                </c:pt>
              </c:strCache>
            </c:strRef>
          </c:cat>
          <c:val>
            <c:numRef>
              <c:f>'Growth Projection'!$D$7:$D$16</c:f>
              <c:numCache>
                <c:formatCode>#,##0</c:formatCode>
                <c:ptCount val="10"/>
                <c:pt idx="0">
                  <c:v>2250</c:v>
                </c:pt>
                <c:pt idx="1">
                  <c:v>3150</c:v>
                </c:pt>
                <c:pt idx="2">
                  <c:v>4410</c:v>
                </c:pt>
                <c:pt idx="3">
                  <c:v>6174</c:v>
                </c:pt>
                <c:pt idx="4">
                  <c:v>8643.6</c:v>
                </c:pt>
                <c:pt idx="5">
                  <c:v>12101.04</c:v>
                </c:pt>
                <c:pt idx="6">
                  <c:v>16941.456</c:v>
                </c:pt>
                <c:pt idx="7">
                  <c:v>23718.0384</c:v>
                </c:pt>
                <c:pt idx="8">
                  <c:v>33205.25376</c:v>
                </c:pt>
                <c:pt idx="9">
                  <c:v>46487.355264</c:v>
                </c:pt>
              </c:numCache>
            </c:numRef>
          </c:val>
          <c:smooth val="1"/>
        </c:ser>
        <c:hiLowLines>
          <c:spPr>
            <a:ln w="0">
              <a:noFill/>
            </a:ln>
          </c:spPr>
        </c:hiLowLines>
        <c:marker val="0"/>
        <c:axId val="63867214"/>
        <c:axId val="41503094"/>
      </c:lineChart>
      <c:catAx>
        <c:axId val="6386721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503094"/>
        <c:crosses val="autoZero"/>
        <c:auto val="1"/>
        <c:lblAlgn val="ctr"/>
        <c:lblOffset val="100"/>
        <c:noMultiLvlLbl val="0"/>
      </c:catAx>
      <c:valAx>
        <c:axId val="4150309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Rs crore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8672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CGTMSE cumulative growth, illustrative path (Rs '000 crore)</a:t>
            </a:r>
          </a:p>
        </c:rich>
      </c:tx>
      <c:overlay val="0"/>
      <c:spPr>
        <a:noFill/>
        <a:ln w="0">
          <a:noFill/>
        </a:ln>
      </c:spPr>
    </c:title>
    <c:autoTitleDeleted val="0"/>
    <c:plotArea>
      <c:barChart>
        <c:barDir val="col"/>
        <c:grouping val="clustered"/>
        <c:varyColors val="0"/>
        <c:ser>
          <c:idx val="0"/>
          <c:order val="0"/>
          <c:tx>
            <c:strRef>
              <c:f>'Growth Projection'!B6</c:f>
              <c:strCache>
                <c:ptCount val="1"/>
                <c:pt idx="0">
                  <c:v>CGTMSE cumulative (Rs '000 cr)</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'Growth Projection'!$A$7:$A$16</c:f>
              <c:strCache>
                <c:ptCount val="10"/>
                <c:pt idx="0">
                  <c:v>1</c:v>
                </c:pt>
                <c:pt idx="1">
                  <c:v>2</c:v>
                </c:pt>
                <c:pt idx="2">
                  <c:v>3</c:v>
                </c:pt>
                <c:pt idx="3">
                  <c:v>4</c:v>
                </c:pt>
                <c:pt idx="4">
                  <c:v>5</c:v>
                </c:pt>
                <c:pt idx="5">
                  <c:v>6</c:v>
                </c:pt>
                <c:pt idx="6">
                  <c:v>7</c:v>
                </c:pt>
                <c:pt idx="7">
                  <c:v>8</c:v>
                </c:pt>
                <c:pt idx="8">
                  <c:v>9</c:v>
                </c:pt>
                <c:pt idx="9">
                  <c:v>10</c:v>
                </c:pt>
              </c:strCache>
            </c:strRef>
          </c:cat>
          <c:val>
            <c:numRef>
              <c:f>'Growth Projection'!$B$7:$B$16</c:f>
              <c:numCache>
                <c:formatCode>#,##0</c:formatCode>
                <c:ptCount val="10"/>
                <c:pt idx="0">
                  <c:v>5</c:v>
                </c:pt>
                <c:pt idx="1">
                  <c:v>15</c:v>
                </c:pt>
                <c:pt idx="2">
                  <c:v>35</c:v>
                </c:pt>
                <c:pt idx="3">
                  <c:v>60</c:v>
                </c:pt>
                <c:pt idx="4">
                  <c:v>95</c:v>
                </c:pt>
                <c:pt idx="5">
                  <c:v>140</c:v>
                </c:pt>
                <c:pt idx="6">
                  <c:v>195</c:v>
                </c:pt>
                <c:pt idx="7">
                  <c:v>260</c:v>
                </c:pt>
                <c:pt idx="8">
                  <c:v>335</c:v>
                </c:pt>
                <c:pt idx="9">
                  <c:v>420</c:v>
                </c:pt>
              </c:numCache>
            </c:numRef>
          </c:val>
        </c:ser>
        <c:gapWidth val="150"/>
        <c:overlap val="0"/>
        <c:axId val="40391905"/>
        <c:axId val="14670629"/>
      </c:barChart>
      <c:catAx>
        <c:axId val="4039190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670629"/>
        <c:crosses val="autoZero"/>
        <c:auto val="1"/>
        <c:lblAlgn val="ctr"/>
        <c:lblOffset val="100"/>
        <c:noMultiLvlLbl val="0"/>
      </c:catAx>
      <c:valAx>
        <c:axId val="1467062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Rs '000 crore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39190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xdr:row>
      <xdr:rowOff>160560</xdr:rowOff>
    </xdr:from>
    <xdr:to>
      <xdr:col>17</xdr:col>
      <xdr:colOff>581400</xdr:colOff>
      <xdr:row>24</xdr:row>
      <xdr:rowOff>140040</xdr:rowOff>
    </xdr:to>
    <xdr:graphicFrame>
      <xdr:nvGraphicFramePr>
        <xdr:cNvPr id="0" name="Chart 1"/>
        <xdr:cNvGraphicFramePr/>
      </xdr:nvGraphicFramePr>
      <xdr:xfrm>
        <a:off x="6343560" y="1143000"/>
        <a:ext cx="791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23</xdr:row>
      <xdr:rowOff>11520</xdr:rowOff>
    </xdr:from>
    <xdr:to>
      <xdr:col>17</xdr:col>
      <xdr:colOff>581400</xdr:colOff>
      <xdr:row>45</xdr:row>
      <xdr:rowOff>140400</xdr:rowOff>
    </xdr:to>
    <xdr:graphicFrame>
      <xdr:nvGraphicFramePr>
        <xdr:cNvPr id="1" name="Chart 2"/>
        <xdr:cNvGraphicFramePr/>
      </xdr:nvGraphicFramePr>
      <xdr:xfrm>
        <a:off x="6343560" y="5143680"/>
        <a:ext cx="791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cgtmse.in/" TargetMode="External"/><Relationship Id="rId2" Type="http://schemas.openxmlformats.org/officeDocument/2006/relationships/hyperlink" Target="https://aspire.financialexpressb2b.com/news/npa-levels-in-cgtmse-backed-msme-loans-hit-multi-year-low-in-fy25-across-states" TargetMode="External"/><Relationship Id="rId3" Type="http://schemas.openxmlformats.org/officeDocument/2006/relationships/hyperlink" Target="https://aspire.financialexpressb2b.com/news/npa-levels-in-cgtmse-backed-msme-loans-hit-multi-year-low-in-fy25-across-states" TargetMode="External"/><Relationship Id="rId4" Type="http://schemas.openxmlformats.org/officeDocument/2006/relationships/hyperlink" Target="https://www.cgtmse.in/Default/ViewFile/CGTMSE-AR-2024-25-english.pdf?path=AnnualReport" TargetMode="External"/><Relationship Id="rId5" Type="http://schemas.openxmlformats.org/officeDocument/2006/relationships/hyperlink" Target="https://aspire.financialexpressb2b.com/news/npa-levels-in-cgtmse-backed-msme-loans-hit-multi-year-low-in-fy25-across-states" TargetMode="External"/><Relationship Id="rId6" Type="http://schemas.openxmlformats.org/officeDocument/2006/relationships/hyperlink" Target="https://www.pib.gov.in/PressReleasePage.aspx?PRID=2127843" TargetMode="External"/><Relationship Id="rId7" Type="http://schemas.openxmlformats.org/officeDocument/2006/relationships/hyperlink" Target="https://www.pib.gov.in/PressReleasePage.aspx?PRID=2127843" TargetMode="External"/><Relationship Id="rId8" Type="http://schemas.openxmlformats.org/officeDocument/2006/relationships/hyperlink" Target="https://www.pib.gov.in/FactsheetDetails.aspx?Id=149106&amp;reg=3&amp;lang=1" TargetMode="External"/><Relationship Id="rId9" Type="http://schemas.openxmlformats.org/officeDocument/2006/relationships/hyperlink" Target="https://www.pib.gov.in/FactsheetDetails.aspx?Id=149106&amp;reg=3&amp;lang=1" TargetMode="External"/><Relationship Id="rId10" Type="http://schemas.openxmlformats.org/officeDocument/2006/relationships/hyperlink" Target="https://www.pib.gov.in/FactsheetDetails.aspx?Id=149106&amp;reg=3&amp;lang=1"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www.kotakneo.com/investing-guide/articles/india-ai-market-growth-analysis-2025/" TargetMode="External"/><Relationship Id="rId2" Type="http://schemas.openxmlformats.org/officeDocument/2006/relationships/hyperlink" Target="https://www.kotakneo.com/investing-guide/articles/india-ai-market-growth-analysis-2025/" TargetMode="External"/><Relationship Id="rId3" Type="http://schemas.openxmlformats.org/officeDocument/2006/relationships/hyperlink" Target="https://www.kotakneo.com/investing-guide/articles/india-ai-market-growth-analysis-2025/" TargetMode="External"/><Relationship Id="rId4" Type="http://schemas.openxmlformats.org/officeDocument/2006/relationships/hyperlink" Target="https://www.kotakneo.com/investing-guide/articles/india-ai-market-growth-analysis-2025/" TargetMode="External"/><Relationship Id="rId5" Type="http://schemas.openxmlformats.org/officeDocument/2006/relationships/hyperlink" Target="https://www.kotakneo.com/investing-guide/articles/india-ai-market-growth-analysis-2025/" TargetMode="External"/><Relationship Id="rId6" Type="http://schemas.openxmlformats.org/officeDocument/2006/relationships/hyperlink" Target="https://www.kotakneo.com/investing-guide/articles/india-ai-market-growth-analysis-2025/" TargetMode="External"/><Relationship Id="rId7" Type="http://schemas.openxmlformats.org/officeDocument/2006/relationships/hyperlink" Target="https://techcrunch.com/?p=307905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3" customFormat="false" ht="15" hidden="false" customHeight="false" outlineLevel="0" collapsed="false">
      <c r="A3" s="2" t="s">
        <v>1</v>
      </c>
    </row>
    <row r="4" customFormat="false" ht="39.75" hidden="false" customHeight="true" outlineLevel="0" collapsed="false">
      <c r="A4" s="3" t="s">
        <v>2</v>
      </c>
    </row>
    <row r="6" customFormat="false" ht="15" hidden="false" customHeight="false" outlineLevel="0" collapsed="false">
      <c r="A6" s="2" t="s">
        <v>3</v>
      </c>
    </row>
    <row r="7" customFormat="false" ht="15" hidden="false" customHeight="false" outlineLevel="0" collapsed="false">
      <c r="A7" s="3" t="s">
        <v>4</v>
      </c>
    </row>
    <row r="8" customFormat="false" ht="28.35" hidden="false" customHeight="false" outlineLevel="0" collapsed="false">
      <c r="A8" s="3" t="s">
        <v>5</v>
      </c>
    </row>
    <row r="9" customFormat="false" ht="28.35" hidden="false" customHeight="false" outlineLevel="0" collapsed="false">
      <c r="A9" s="3" t="s">
        <v>6</v>
      </c>
    </row>
    <row r="10" customFormat="false" ht="15" hidden="false" customHeight="false" outlineLevel="0" collapsed="false">
      <c r="A10" s="3" t="s">
        <v>7</v>
      </c>
    </row>
    <row r="12" customFormat="false" ht="15" hidden="false" customHeight="false" outlineLevel="0" collapsed="false">
      <c r="A12" s="2" t="s">
        <v>8</v>
      </c>
    </row>
    <row r="13" customFormat="false" ht="15" hidden="false" customHeight="false" outlineLevel="0" collapsed="false">
      <c r="A13" s="4" t="s">
        <v>9</v>
      </c>
    </row>
    <row r="14" customFormat="false" ht="15" hidden="false" customHeight="false" outlineLevel="0" collapsed="false">
      <c r="A14" s="5" t="s">
        <v>10</v>
      </c>
    </row>
    <row r="15" customFormat="false" ht="15" hidden="false" customHeight="false" outlineLevel="0" collapsed="false">
      <c r="A15" s="6"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2"/>
    <col collapsed="false" customWidth="true" hidden="false" outlineLevel="0" max="3" min="3" style="0" width="16"/>
    <col collapsed="false" customWidth="true" hidden="false" outlineLevel="0" max="4" min="4" style="0" width="45"/>
  </cols>
  <sheetData>
    <row r="1" customFormat="false" ht="17.35" hidden="false" customHeight="false" outlineLevel="0" collapsed="false">
      <c r="A1" s="7" t="s">
        <v>12</v>
      </c>
    </row>
    <row r="3" customFormat="false" ht="15" hidden="false" customHeight="false" outlineLevel="0" collapsed="false">
      <c r="A3" s="2" t="s">
        <v>13</v>
      </c>
    </row>
    <row r="4" customFormat="false" ht="15" hidden="false" customHeight="false" outlineLevel="0" collapsed="false">
      <c r="A4" s="8" t="s">
        <v>14</v>
      </c>
      <c r="B4" s="8" t="s">
        <v>15</v>
      </c>
      <c r="C4" s="8" t="s">
        <v>16</v>
      </c>
      <c r="D4" s="8" t="s">
        <v>17</v>
      </c>
    </row>
    <row r="5" customFormat="false" ht="15" hidden="false" customHeight="false" outlineLevel="0" collapsed="false">
      <c r="A5" s="9" t="s">
        <v>18</v>
      </c>
      <c r="B5" s="9" t="n">
        <v>2000</v>
      </c>
      <c r="C5" s="9" t="s">
        <v>19</v>
      </c>
      <c r="D5" s="10" t="s">
        <v>20</v>
      </c>
    </row>
    <row r="6" customFormat="false" ht="15" hidden="false" customHeight="false" outlineLevel="0" collapsed="false">
      <c r="A6" s="9" t="s">
        <v>21</v>
      </c>
      <c r="B6" s="9" t="s">
        <v>22</v>
      </c>
      <c r="C6" s="9" t="s">
        <v>23</v>
      </c>
      <c r="D6" s="10" t="s">
        <v>24</v>
      </c>
    </row>
    <row r="7" customFormat="false" ht="15" hidden="false" customHeight="false" outlineLevel="0" collapsed="false">
      <c r="A7" s="9" t="s">
        <v>25</v>
      </c>
      <c r="B7" s="9" t="s">
        <v>26</v>
      </c>
      <c r="C7" s="9" t="s">
        <v>23</v>
      </c>
      <c r="D7" s="10" t="s">
        <v>24</v>
      </c>
    </row>
    <row r="8" customFormat="false" ht="15" hidden="false" customHeight="false" outlineLevel="0" collapsed="false">
      <c r="A8" s="9" t="s">
        <v>27</v>
      </c>
      <c r="B8" s="9" t="s">
        <v>28</v>
      </c>
      <c r="C8" s="9" t="s">
        <v>29</v>
      </c>
      <c r="D8" s="10" t="s">
        <v>30</v>
      </c>
    </row>
    <row r="9" customFormat="false" ht="15" hidden="false" customHeight="false" outlineLevel="0" collapsed="false">
      <c r="A9" s="9" t="s">
        <v>31</v>
      </c>
      <c r="B9" s="9" t="s">
        <v>32</v>
      </c>
      <c r="C9" s="9" t="s">
        <v>33</v>
      </c>
      <c r="D9" s="10" t="s">
        <v>24</v>
      </c>
    </row>
    <row r="11" customFormat="false" ht="15" hidden="false" customHeight="false" outlineLevel="0" collapsed="false">
      <c r="A11" s="2" t="s">
        <v>34</v>
      </c>
    </row>
    <row r="12" customFormat="false" ht="15" hidden="false" customHeight="false" outlineLevel="0" collapsed="false">
      <c r="A12" s="8" t="s">
        <v>14</v>
      </c>
      <c r="B12" s="8" t="s">
        <v>15</v>
      </c>
      <c r="C12" s="8" t="s">
        <v>16</v>
      </c>
      <c r="D12" s="8" t="s">
        <v>17</v>
      </c>
    </row>
    <row r="13" customFormat="false" ht="15" hidden="false" customHeight="false" outlineLevel="0" collapsed="false">
      <c r="A13" s="9" t="s">
        <v>18</v>
      </c>
      <c r="B13" s="9" t="n">
        <v>2022</v>
      </c>
      <c r="C13" s="9" t="s">
        <v>35</v>
      </c>
      <c r="D13" s="10" t="s">
        <v>36</v>
      </c>
    </row>
    <row r="14" customFormat="false" ht="15" hidden="false" customHeight="false" outlineLevel="0" collapsed="false">
      <c r="A14" s="9" t="s">
        <v>37</v>
      </c>
      <c r="B14" s="9" t="s">
        <v>38</v>
      </c>
      <c r="C14" s="9" t="s">
        <v>39</v>
      </c>
      <c r="D14" s="10" t="s">
        <v>40</v>
      </c>
    </row>
    <row r="15" customFormat="false" ht="15" hidden="false" customHeight="false" outlineLevel="0" collapsed="false">
      <c r="A15" s="9" t="s">
        <v>41</v>
      </c>
      <c r="B15" s="9" t="n">
        <v>260</v>
      </c>
      <c r="C15" s="9" t="s">
        <v>42</v>
      </c>
      <c r="D15" s="10" t="s">
        <v>43</v>
      </c>
    </row>
    <row r="16" customFormat="false" ht="15" hidden="false" customHeight="false" outlineLevel="0" collapsed="false">
      <c r="A16" s="9" t="s">
        <v>44</v>
      </c>
      <c r="B16" s="9" t="s">
        <v>45</v>
      </c>
      <c r="C16" s="9" t="s">
        <v>42</v>
      </c>
      <c r="D16" s="10" t="s">
        <v>43</v>
      </c>
    </row>
    <row r="17" customFormat="false" ht="15" hidden="false" customHeight="false" outlineLevel="0" collapsed="false">
      <c r="A17" s="9" t="s">
        <v>46</v>
      </c>
      <c r="B17" s="9" t="n">
        <v>209</v>
      </c>
      <c r="C17" s="9" t="s">
        <v>42</v>
      </c>
      <c r="D17" s="10" t="s">
        <v>43</v>
      </c>
    </row>
    <row r="20" customFormat="false" ht="39.75" hidden="false" customHeight="true" outlineLevel="0" collapsed="false">
      <c r="A20" s="11" t="s">
        <v>47</v>
      </c>
      <c r="B20" s="11"/>
      <c r="C20" s="11"/>
      <c r="D20" s="11"/>
    </row>
  </sheetData>
  <mergeCells count="1">
    <mergeCell ref="A20:D20"/>
  </mergeCells>
  <hyperlinks>
    <hyperlink ref="D5" r:id="rId1" display="CGTMSE official site"/>
    <hyperlink ref="D6" r:id="rId2" display="Financial Express B2B, Aug 2025"/>
    <hyperlink ref="D7" r:id="rId3" display="Financial Express B2B, Aug 2025"/>
    <hyperlink ref="D8" r:id="rId4" display="CGTMSE Annual Report 2024-25"/>
    <hyperlink ref="D9" r:id="rId5" display="Financial Express B2B, Aug 2025"/>
    <hyperlink ref="D13" r:id="rId6" display="PIB / DPIIT notification"/>
    <hyperlink ref="D14" r:id="rId7" display="PIB, May 2025"/>
    <hyperlink ref="D15" r:id="rId8" display="PIB Factsheet: India's Startup Revolution"/>
    <hyperlink ref="D16" r:id="rId9" display="PIB Factsheet: India's Startup Revolution"/>
    <hyperlink ref="D17" r:id="rId10" display="PIB Factsheet: India's Startup Revolu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s>
  <sheetData>
    <row r="1" customFormat="false" ht="17.35" hidden="false" customHeight="false" outlineLevel="0" collapsed="false">
      <c r="A1" s="7" t="s">
        <v>48</v>
      </c>
    </row>
    <row r="2" customFormat="false" ht="15" hidden="false" customHeight="false" outlineLevel="0" collapsed="false">
      <c r="A2" s="12" t="s">
        <v>49</v>
      </c>
    </row>
    <row r="4" customFormat="false" ht="15" hidden="false" customHeight="false" outlineLevel="0" collapsed="false">
      <c r="A4" s="13" t="s">
        <v>50</v>
      </c>
      <c r="B4" s="13"/>
    </row>
    <row r="5" customFormat="false" ht="15" hidden="false" customHeight="false" outlineLevel="0" collapsed="false">
      <c r="A5" s="9" t="s">
        <v>51</v>
      </c>
      <c r="B5" s="14" t="n">
        <v>200</v>
      </c>
    </row>
    <row r="6" customFormat="false" ht="15" hidden="false" customHeight="false" outlineLevel="0" collapsed="false">
      <c r="A6" s="9" t="s">
        <v>52</v>
      </c>
      <c r="B6" s="14" t="n">
        <v>15</v>
      </c>
    </row>
    <row r="7" customFormat="false" ht="15" hidden="false" customHeight="false" outlineLevel="0" collapsed="false">
      <c r="A7" s="9" t="s">
        <v>53</v>
      </c>
      <c r="B7" s="15" t="n">
        <v>0.75</v>
      </c>
    </row>
    <row r="8" customFormat="false" ht="15" hidden="false" customHeight="false" outlineLevel="0" collapsed="false">
      <c r="A8" s="9" t="s">
        <v>54</v>
      </c>
      <c r="B8" s="15" t="n">
        <v>0.025</v>
      </c>
    </row>
    <row r="9" customFormat="false" ht="15" hidden="false" customHeight="false" outlineLevel="0" collapsed="false">
      <c r="A9" s="9" t="s">
        <v>55</v>
      </c>
      <c r="B9" s="15" t="n">
        <v>0.15</v>
      </c>
    </row>
    <row r="10" customFormat="false" ht="15" hidden="false" customHeight="false" outlineLevel="0" collapsed="false">
      <c r="A10" s="9" t="s">
        <v>56</v>
      </c>
      <c r="B10" s="15" t="n">
        <v>0.2</v>
      </c>
    </row>
    <row r="12" customFormat="false" ht="15" hidden="false" customHeight="false" outlineLevel="0" collapsed="false">
      <c r="A12" s="13" t="s">
        <v>57</v>
      </c>
      <c r="B12" s="13"/>
    </row>
    <row r="13" customFormat="false" ht="15" hidden="false" customHeight="false" outlineLevel="0" collapsed="false">
      <c r="A13" s="9" t="s">
        <v>58</v>
      </c>
      <c r="B13" s="16" t="n">
        <f aca="false">B5*B6</f>
        <v>3000</v>
      </c>
    </row>
    <row r="14" customFormat="false" ht="15" hidden="false" customHeight="false" outlineLevel="0" collapsed="false">
      <c r="A14" s="9" t="s">
        <v>59</v>
      </c>
      <c r="B14" s="16" t="n">
        <f aca="false">B13*B7</f>
        <v>2250</v>
      </c>
    </row>
    <row r="15" customFormat="false" ht="15" hidden="false" customHeight="false" outlineLevel="0" collapsed="false">
      <c r="A15" s="9" t="s">
        <v>60</v>
      </c>
      <c r="B15" s="16" t="n">
        <f aca="false">B13*B8</f>
        <v>75</v>
      </c>
    </row>
    <row r="16" customFormat="false" ht="15" hidden="false" customHeight="false" outlineLevel="0" collapsed="false">
      <c r="A16" s="9" t="s">
        <v>61</v>
      </c>
      <c r="B16" s="16" t="n">
        <f aca="false">B13*B9*B7*(1-B10)</f>
        <v>270</v>
      </c>
    </row>
    <row r="17" customFormat="false" ht="15" hidden="false" customHeight="false" outlineLevel="0" collapsed="false">
      <c r="A17" s="9" t="s">
        <v>62</v>
      </c>
      <c r="B17" s="16" t="n">
        <f aca="false">B15-B16</f>
        <v>-195</v>
      </c>
    </row>
    <row r="19" customFormat="false" ht="39.75" hidden="false" customHeight="true" outlineLevel="0" collapsed="false">
      <c r="A19" s="11" t="s">
        <v>63</v>
      </c>
      <c r="B19" s="11"/>
      <c r="C19" s="11"/>
      <c r="D19" s="11"/>
    </row>
  </sheetData>
  <mergeCells count="3">
    <mergeCell ref="A4:B4"/>
    <mergeCell ref="A12:B12"/>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5" min="2" style="0" width="20"/>
  </cols>
  <sheetData>
    <row r="1" customFormat="false" ht="17.35" hidden="false" customHeight="false" outlineLevel="0" collapsed="false">
      <c r="A1" s="7" t="s">
        <v>64</v>
      </c>
    </row>
    <row r="2" customFormat="false" ht="30" hidden="false" customHeight="true" outlineLevel="0" collapsed="false">
      <c r="A2" s="11" t="s">
        <v>65</v>
      </c>
      <c r="B2" s="11"/>
      <c r="C2" s="11"/>
      <c r="D2" s="11"/>
      <c r="E2" s="11"/>
    </row>
    <row r="4" customFormat="false" ht="15" hidden="false" customHeight="false" outlineLevel="0" collapsed="false">
      <c r="A4" s="9" t="s">
        <v>66</v>
      </c>
      <c r="B4" s="15" t="n">
        <v>0.4</v>
      </c>
    </row>
    <row r="6" customFormat="false" ht="41.75" hidden="false" customHeight="false" outlineLevel="0" collapsed="false">
      <c r="A6" s="8" t="s">
        <v>67</v>
      </c>
      <c r="B6" s="8" t="s">
        <v>68</v>
      </c>
      <c r="C6" s="8" t="s">
        <v>69</v>
      </c>
      <c r="D6" s="8" t="s">
        <v>70</v>
      </c>
    </row>
    <row r="7" customFormat="false" ht="15" hidden="false" customHeight="false" outlineLevel="0" collapsed="false">
      <c r="A7" s="9" t="n">
        <v>1</v>
      </c>
      <c r="B7" s="17" t="n">
        <v>5</v>
      </c>
      <c r="C7" s="17" t="n">
        <v>0</v>
      </c>
      <c r="D7" s="17" t="n">
        <f aca="false">'Exposure Model'!B14</f>
        <v>2250</v>
      </c>
    </row>
    <row r="8" customFormat="false" ht="15" hidden="false" customHeight="false" outlineLevel="0" collapsed="false">
      <c r="A8" s="9" t="n">
        <v>2</v>
      </c>
      <c r="B8" s="17" t="n">
        <v>15</v>
      </c>
      <c r="C8" s="17" t="n">
        <v>120</v>
      </c>
      <c r="D8" s="17" t="n">
        <f aca="false">D7*(1+$B$4)</f>
        <v>3150</v>
      </c>
    </row>
    <row r="9" customFormat="false" ht="15" hidden="false" customHeight="false" outlineLevel="0" collapsed="false">
      <c r="A9" s="9" t="n">
        <v>3</v>
      </c>
      <c r="B9" s="17" t="n">
        <v>35</v>
      </c>
      <c r="C9" s="17" t="n">
        <v>604</v>
      </c>
      <c r="D9" s="17" t="n">
        <f aca="false">D8*(1+$B$4)</f>
        <v>4410</v>
      </c>
    </row>
    <row r="10" customFormat="false" ht="15" hidden="false" customHeight="false" outlineLevel="0" collapsed="false">
      <c r="A10" s="9" t="n">
        <v>4</v>
      </c>
      <c r="B10" s="17" t="n">
        <v>60</v>
      </c>
      <c r="C10" s="17"/>
      <c r="D10" s="17" t="n">
        <f aca="false">D9*(1+$B$4)</f>
        <v>6174</v>
      </c>
    </row>
    <row r="11" customFormat="false" ht="15" hidden="false" customHeight="false" outlineLevel="0" collapsed="false">
      <c r="A11" s="9" t="n">
        <v>5</v>
      </c>
      <c r="B11" s="17" t="n">
        <v>95</v>
      </c>
      <c r="C11" s="17"/>
      <c r="D11" s="17" t="n">
        <f aca="false">D10*(1+$B$4)</f>
        <v>8643.6</v>
      </c>
    </row>
    <row r="12" customFormat="false" ht="15" hidden="false" customHeight="false" outlineLevel="0" collapsed="false">
      <c r="A12" s="9" t="n">
        <v>6</v>
      </c>
      <c r="B12" s="17" t="n">
        <v>140</v>
      </c>
      <c r="C12" s="17"/>
      <c r="D12" s="17" t="n">
        <f aca="false">D11*(1+$B$4)</f>
        <v>12101.04</v>
      </c>
    </row>
    <row r="13" customFormat="false" ht="15" hidden="false" customHeight="false" outlineLevel="0" collapsed="false">
      <c r="A13" s="9" t="n">
        <v>7</v>
      </c>
      <c r="B13" s="17" t="n">
        <v>195</v>
      </c>
      <c r="C13" s="17"/>
      <c r="D13" s="17" t="n">
        <f aca="false">D12*(1+$B$4)</f>
        <v>16941.456</v>
      </c>
    </row>
    <row r="14" customFormat="false" ht="15" hidden="false" customHeight="false" outlineLevel="0" collapsed="false">
      <c r="A14" s="9" t="n">
        <v>8</v>
      </c>
      <c r="B14" s="17" t="n">
        <v>260</v>
      </c>
      <c r="C14" s="17"/>
      <c r="D14" s="17" t="n">
        <f aca="false">D13*(1+$B$4)</f>
        <v>23718.0384</v>
      </c>
    </row>
    <row r="15" customFormat="false" ht="15" hidden="false" customHeight="false" outlineLevel="0" collapsed="false">
      <c r="A15" s="9" t="n">
        <v>9</v>
      </c>
      <c r="B15" s="17" t="n">
        <v>335</v>
      </c>
      <c r="C15" s="17"/>
      <c r="D15" s="17" t="n">
        <f aca="false">D14*(1+$B$4)</f>
        <v>33205.25376</v>
      </c>
    </row>
    <row r="16" customFormat="false" ht="15" hidden="false" customHeight="false" outlineLevel="0" collapsed="false">
      <c r="A16" s="9" t="n">
        <v>10</v>
      </c>
      <c r="B16" s="17" t="n">
        <v>420</v>
      </c>
      <c r="C16" s="17"/>
      <c r="D16" s="17" t="n">
        <f aca="false">D15*(1+$B$4)</f>
        <v>46487.355264</v>
      </c>
    </row>
    <row r="18" customFormat="false" ht="30" hidden="false" customHeight="true" outlineLevel="0" collapsed="false">
      <c r="A18" s="11" t="s">
        <v>71</v>
      </c>
      <c r="B18" s="11"/>
      <c r="C18" s="11"/>
      <c r="D18" s="11"/>
    </row>
    <row r="20" customFormat="false" ht="15" hidden="false" customHeight="false" outlineLevel="0" collapsed="false">
      <c r="A20" s="18" t="s">
        <v>72</v>
      </c>
      <c r="B20" s="18"/>
      <c r="C20" s="18"/>
      <c r="D20" s="18"/>
    </row>
  </sheetData>
  <mergeCells count="3">
    <mergeCell ref="A2:E2"/>
    <mergeCell ref="A18:D18"/>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6"/>
    <col collapsed="false" customWidth="true" hidden="false" outlineLevel="0" max="4" min="4" style="0" width="45"/>
  </cols>
  <sheetData>
    <row r="1" customFormat="false" ht="17.35" hidden="false" customHeight="false" outlineLevel="0" collapsed="false">
      <c r="A1" s="7" t="s">
        <v>73</v>
      </c>
    </row>
    <row r="3" customFormat="false" ht="15" hidden="false" customHeight="false" outlineLevel="0" collapsed="false">
      <c r="A3" s="8" t="s">
        <v>14</v>
      </c>
      <c r="B3" s="8" t="s">
        <v>15</v>
      </c>
      <c r="C3" s="8" t="s">
        <v>74</v>
      </c>
      <c r="D3" s="8" t="s">
        <v>17</v>
      </c>
    </row>
    <row r="4" customFormat="false" ht="15" hidden="false" customHeight="false" outlineLevel="0" collapsed="false">
      <c r="A4" s="9" t="s">
        <v>75</v>
      </c>
      <c r="B4" s="9" t="s">
        <v>76</v>
      </c>
      <c r="C4" s="9" t="s">
        <v>77</v>
      </c>
      <c r="D4" s="10" t="s">
        <v>78</v>
      </c>
    </row>
    <row r="5" customFormat="false" ht="15" hidden="false" customHeight="false" outlineLevel="0" collapsed="false">
      <c r="A5" s="9" t="s">
        <v>79</v>
      </c>
      <c r="B5" s="9" t="s">
        <v>80</v>
      </c>
      <c r="C5" s="9" t="s">
        <v>77</v>
      </c>
      <c r="D5" s="10" t="s">
        <v>78</v>
      </c>
    </row>
    <row r="6" customFormat="false" ht="15" hidden="false" customHeight="false" outlineLevel="0" collapsed="false">
      <c r="A6" s="9" t="s">
        <v>81</v>
      </c>
      <c r="B6" s="9" t="s">
        <v>82</v>
      </c>
      <c r="C6" s="9" t="s">
        <v>77</v>
      </c>
      <c r="D6" s="10" t="s">
        <v>78</v>
      </c>
    </row>
    <row r="7" customFormat="false" ht="15" hidden="false" customHeight="false" outlineLevel="0" collapsed="false">
      <c r="A7" s="9" t="s">
        <v>83</v>
      </c>
      <c r="B7" s="9" t="n">
        <v>230</v>
      </c>
      <c r="C7" s="9" t="s">
        <v>84</v>
      </c>
      <c r="D7" s="10" t="s">
        <v>78</v>
      </c>
    </row>
    <row r="8" customFormat="false" ht="15" hidden="false" customHeight="false" outlineLevel="0" collapsed="false">
      <c r="A8" s="9" t="s">
        <v>85</v>
      </c>
      <c r="B8" s="9" t="n">
        <v>187</v>
      </c>
      <c r="C8" s="9" t="s">
        <v>84</v>
      </c>
      <c r="D8" s="10" t="s">
        <v>78</v>
      </c>
    </row>
    <row r="9" customFormat="false" ht="15" hidden="false" customHeight="false" outlineLevel="0" collapsed="false">
      <c r="A9" s="9" t="s">
        <v>86</v>
      </c>
      <c r="B9" s="9" t="n">
        <v>8</v>
      </c>
      <c r="C9" s="9" t="s">
        <v>84</v>
      </c>
      <c r="D9" s="10" t="s">
        <v>78</v>
      </c>
    </row>
    <row r="10" customFormat="false" ht="15" hidden="false" customHeight="false" outlineLevel="0" collapsed="false">
      <c r="A10" s="9" t="s">
        <v>87</v>
      </c>
      <c r="B10" s="9" t="s">
        <v>88</v>
      </c>
      <c r="C10" s="9" t="s">
        <v>89</v>
      </c>
      <c r="D10" s="10" t="s">
        <v>90</v>
      </c>
    </row>
    <row r="12" customFormat="false" ht="30" hidden="false" customHeight="true" outlineLevel="0" collapsed="false">
      <c r="A12" s="11" t="s">
        <v>91</v>
      </c>
      <c r="B12" s="11"/>
      <c r="C12" s="11"/>
      <c r="D12" s="11"/>
    </row>
  </sheetData>
  <mergeCells count="1">
    <mergeCell ref="A12:D12"/>
  </mergeCells>
  <hyperlinks>
    <hyperlink ref="D4" r:id="rId1" display="Kotak Neo, May 2026"/>
    <hyperlink ref="D5" r:id="rId2" display="Kotak Neo, May 2026"/>
    <hyperlink ref="D6" r:id="rId3" display="Kotak Neo, May 2026"/>
    <hyperlink ref="D7" r:id="rId4" display="Kotak Neo, May 2026"/>
    <hyperlink ref="D8" r:id="rId5" display="Kotak Neo, May 2026"/>
    <hyperlink ref="D9" r:id="rId6" display="Kotak Neo, May 2026"/>
    <hyperlink ref="D10" r:id="rId7" display="TechCrunch, 202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2026-07-22T21:03:29Z</dcterms:created>
  <dc:creator>openpyxl</dc:creator>
  <dc:description/>
  <dc:language>en-US</dc:language>
  <cp:lastModifiedBy/>
  <dcterms:modified xsi:type="dcterms:W3CDTF">2026-07-22T21:03:35Z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