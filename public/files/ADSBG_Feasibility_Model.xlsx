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e85ce1d877cc4d9f/Desktop/NFPRC/Projects/"/>
    </mc:Choice>
  </mc:AlternateContent>
  <xr:revisionPtr revIDLastSave="87" documentId="11_FA05B9CCFBC9CC2E60378C08555E5EAAC1D4A82D" xr6:coauthVersionLast="47" xr6:coauthVersionMax="47" xr10:uidLastSave="{A9BA252E-5555-4DA5-B3A8-75526E012C31}"/>
  <bookViews>
    <workbookView xWindow="-108" yWindow="-108" windowWidth="23256" windowHeight="13176" tabRatio="500" xr2:uid="{00000000-000D-0000-FFFF-FFFF00000000}"/>
  </bookViews>
  <sheets>
    <sheet name="Benchmark Data" sheetId="2" r:id="rId1"/>
    <sheet name="Exposure Model" sheetId="3" r:id="rId2"/>
    <sheet name="Growth Projection" sheetId="4" r:id="rId3"/>
    <sheet name="Funding Gap" sheetId="5" r:id="rId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7" i="4" l="1"/>
  <c r="B12" i="3" l="1"/>
  <c r="B13" i="3" s="1"/>
  <c r="D8" i="4" s="1"/>
  <c r="D9" i="4" s="1"/>
  <c r="D10" i="4" s="1"/>
  <c r="D11" i="4" s="1"/>
  <c r="D12" i="4" s="1"/>
  <c r="D13" i="4" s="1"/>
  <c r="D14" i="4" s="1"/>
  <c r="D15" i="4" s="1"/>
  <c r="D16" i="4" s="1"/>
  <c r="B14" i="3" l="1"/>
  <c r="B16" i="3" s="1"/>
  <c r="B15" i="3"/>
</calcChain>
</file>

<file path=xl/sharedStrings.xml><?xml version="1.0" encoding="utf-8"?>
<sst xmlns="http://schemas.openxmlformats.org/spreadsheetml/2006/main" count="102" uniqueCount="78">
  <si>
    <t>CGTMSE and CGSS — Historical Performance</t>
  </si>
  <si>
    <t>CGTMSE (Credit Guarantee Fund Trust for Micro and Small Enterprises)</t>
  </si>
  <si>
    <t>Metric</t>
  </si>
  <si>
    <t>Value</t>
  </si>
  <si>
    <t>As of</t>
  </si>
  <si>
    <t>Source (click to open)</t>
  </si>
  <si>
    <t>Year launched</t>
  </si>
  <si>
    <t>—</t>
  </si>
  <si>
    <t>CGTMSE official site</t>
  </si>
  <si>
    <t>Cumulative guarantees approved (count)</t>
  </si>
  <si>
    <t>1.22 crore</t>
  </si>
  <si>
    <t>Jul 2025</t>
  </si>
  <si>
    <t>Financial Express B2B, Aug 2025</t>
  </si>
  <si>
    <t>Cumulative guarantees approved (value)</t>
  </si>
  <si>
    <t>Rs 10.50 lakh crore</t>
  </si>
  <si>
    <t>Guarantee cover</t>
  </si>
  <si>
    <t>Up to 85%</t>
  </si>
  <si>
    <t>loans &lt;= Rs 10cr</t>
  </si>
  <si>
    <t>CGTMSE Annual Report 2024-25</t>
  </si>
  <si>
    <t>Gross MSME NPA under scheme</t>
  </si>
  <si>
    <t>11.03% -&gt; 3.59%</t>
  </si>
  <si>
    <t>FY20 -&gt; FY25</t>
  </si>
  <si>
    <t>CGSS (Credit Guarantee Scheme for Startups)</t>
  </si>
  <si>
    <t>Oct 2022</t>
  </si>
  <si>
    <t>PIB / DPIIT notification</t>
  </si>
  <si>
    <t>Guarantee ceiling per borrower</t>
  </si>
  <si>
    <t>Rs 20 crore (raised from Rs 10cr)</t>
  </si>
  <si>
    <t>May 2025</t>
  </si>
  <si>
    <t>PIB, May 2025</t>
  </si>
  <si>
    <t>Cumulative loans guaranteed (count)</t>
  </si>
  <si>
    <t>Jan 2025</t>
  </si>
  <si>
    <t>PIB Factsheet: India's Startup Revolution</t>
  </si>
  <si>
    <t>Cumulative loans guaranteed (value)</t>
  </si>
  <si>
    <t>Rs 604.16 crore</t>
  </si>
  <si>
    <t>Startups covered</t>
  </si>
  <si>
    <t>Takeaway: CGTMSE took 25 years to reach its current scale. CGSS, three years in, has guaranteed only Rs 604 crore. ADSBG should be modelled on CGSS's early trajectory, not CGTMSE's mature one.</t>
  </si>
  <si>
    <t>ADSBG — Simple Fiscal Exposure Model</t>
  </si>
  <si>
    <t>INPUTS (change these)</t>
  </si>
  <si>
    <t>Number of loans guaranteed (Year 1)</t>
  </si>
  <si>
    <t>Average loan size (Rs crore)</t>
  </si>
  <si>
    <t>Guarantee cover (%)</t>
  </si>
  <si>
    <t>Annual guarantee fee (% of loan value)</t>
  </si>
  <si>
    <t>Assumed default rate (%)</t>
  </si>
  <si>
    <t>Recovery rate on defaults (%)</t>
  </si>
  <si>
    <t>RESULTS (Year 1)</t>
  </si>
  <si>
    <t>Total loan value (Rs crore)</t>
  </si>
  <si>
    <t>Govt-guaranteed exposure (Rs crore)</t>
  </si>
  <si>
    <t>Premium income (Rs crore)</t>
  </si>
  <si>
    <t>Expected claim payout, net of recovery (Rs crore)</t>
  </si>
  <si>
    <t>Net fiscal position, Year 1 (Rs crore)</t>
  </si>
  <si>
    <t>ADSBG Projected Growth vs CGTMSE and CGSS Actual Growth</t>
  </si>
  <si>
    <t>CGTMSE column uses its real 25-year path (approximated from public disclosures). CGSS uses its real 3-year path. ADSBG projects a CGSS-like slow start, based on the input growth rate below.</t>
  </si>
  <si>
    <t>ADSBG annual growth rate assumption (Year 2 onward)</t>
  </si>
  <si>
    <t>Year</t>
  </si>
  <si>
    <t>CGTMSE cumulative (Rs '000 cr)</t>
  </si>
  <si>
    <t>CGSS cumulative (Rs cr)</t>
  </si>
  <si>
    <t>ADSBG cumulative exposure (Rs cr), projected</t>
  </si>
  <si>
    <t>India's AI Funding Gap vs US and China</t>
  </si>
  <si>
    <t>Period</t>
  </si>
  <si>
    <t>$470.9 billion</t>
  </si>
  <si>
    <t>2013-2024</t>
  </si>
  <si>
    <t>Kotak Neo, May 2026</t>
  </si>
  <si>
    <t>$119.3 billion</t>
  </si>
  <si>
    <t>$11.1 billion</t>
  </si>
  <si>
    <t>current</t>
  </si>
  <si>
    <t>Total India startup funding, all sectors</t>
  </si>
  <si>
    <t>$10.5 billion</t>
  </si>
  <si>
    <t>2025</t>
  </si>
  <si>
    <t>TechCrunch, 2026</t>
  </si>
  <si>
    <t>India's cumulative private AI investment is 2.4% of the US figure and 9.3% of China's over the same window—This gap, not the market-size projections, is the strongest case for ADSBG.</t>
  </si>
  <si>
    <t>Private AI investment—USA</t>
  </si>
  <si>
    <t>Private AI investment—China</t>
  </si>
  <si>
    <t>Private AI investment—India</t>
  </si>
  <si>
    <t>AI data centre clusters—China</t>
  </si>
  <si>
    <t>AI data centre clusters—USA</t>
  </si>
  <si>
    <t>AI data centre clusters—India</t>
  </si>
  <si>
    <t>Note: at the default inputs above, the fee income does not cover expected losses in Year 1—this tells you the fee rate likely needs to rise, or the government needs to accept a subsidised early phase the way CGSS's Champion Sector fee cut does.</t>
  </si>
  <si>
    <t>CGTMSE numbers are in Rs '000 crore (i.e. 5 = Rs 5,000 crore), CGSS and ADSBG are in Rs crore directly—scales differ because CGTMSE operates at a much larger absolute size.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</si>
</sst>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9" x14ac:knownFonts="1">
    <font>
      <sz val="11"/>
      <color theme="1"/>
      <name val="Calibri"/>
      <family val="2"/>
      <charset val="1"/>
    </font>
    <font>
      <sz val="11"/>
      <color theme="1"/>
      <name val="Times New Roman"/>
      <family val="1"/>
    </font>
    <font>
      <b/>
      <sz val="11"/>
      <name val="Times New Roman"/>
      <family val="1"/>
    </font>
    <font>
      <b/>
      <sz val="11"/>
      <color rgb="FFFFFFFF"/>
      <name val="Times New Roman"/>
      <family val="1"/>
    </font>
    <font>
      <u/>
      <sz val="11"/>
      <color rgb="FF0563C1"/>
      <name val="Times New Roman"/>
      <family val="1"/>
    </font>
    <font>
      <sz val="11"/>
      <color rgb="FF0000FF"/>
      <name val="Times New Roman"/>
      <family val="1"/>
    </font>
    <font>
      <i/>
      <sz val="9"/>
      <color rgb="FFC00000"/>
      <name val="Times New Roman"/>
      <family val="1"/>
    </font>
    <font>
      <b/>
      <sz val="14"/>
      <color theme="0"/>
      <name val="Times New Roman"/>
      <family val="1"/>
    </font>
    <font>
      <i/>
      <sz val="11"/>
      <color theme="1"/>
      <name val="Times New Roman"/>
      <family val="1"/>
    </font>
  </fonts>
  <fills count="6">
    <fill>
      <patternFill patternType="none"/>
    </fill>
    <fill>
      <patternFill patternType="gray125"/>
    </fill>
    <fill>
      <patternFill patternType="solid">
        <fgColor rgb="FFFFFF00"/>
        <bgColor rgb="FFFFFF00"/>
      </patternFill>
    </fill>
    <fill>
      <patternFill patternType="solid">
        <fgColor rgb="FF1F4E78"/>
        <bgColor rgb="FF003366"/>
      </patternFill>
    </fill>
    <fill>
      <patternFill patternType="solid">
        <fgColor theme="3" tint="0.59999389629810485"/>
        <bgColor indexed="64"/>
      </patternFill>
    </fill>
    <fill>
      <patternFill patternType="solid">
        <fgColor theme="0"/>
        <b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8">
    <xf numFmtId="0" fontId="0" fillId="0" borderId="0" xfId="0"/>
    <xf numFmtId="0" fontId="1" fillId="0" borderId="0" xfId="0" applyFont="1"/>
    <xf numFmtId="0" fontId="2" fillId="0" borderId="0" xfId="0" applyFont="1"/>
    <xf numFmtId="0" fontId="3" fillId="3" borderId="1" xfId="0" applyFont="1" applyFill="1" applyBorder="1" applyAlignment="1">
      <alignment horizontal="center" vertical="center" wrapText="1"/>
    </xf>
    <xf numFmtId="0" fontId="1" fillId="0" borderId="1" xfId="0" applyFont="1" applyBorder="1"/>
    <xf numFmtId="0" fontId="4" fillId="0" borderId="1" xfId="0" applyFont="1" applyBorder="1" applyAlignment="1">
      <alignment vertical="top" wrapText="1"/>
    </xf>
    <xf numFmtId="0" fontId="3" fillId="3" borderId="0" xfId="0" applyFont="1" applyFill="1"/>
    <xf numFmtId="164" fontId="5" fillId="2" borderId="1" xfId="0" applyNumberFormat="1" applyFont="1" applyFill="1" applyBorder="1"/>
    <xf numFmtId="165" fontId="1" fillId="0" borderId="1" xfId="0" applyNumberFormat="1" applyFont="1" applyBorder="1"/>
    <xf numFmtId="3" fontId="1" fillId="0" borderId="1" xfId="0" applyNumberFormat="1" applyFont="1" applyBorder="1"/>
    <xf numFmtId="0" fontId="6" fillId="0" borderId="0" xfId="0" applyFont="1"/>
    <xf numFmtId="0" fontId="7" fillId="4" borderId="0" xfId="0" applyFont="1" applyFill="1" applyAlignment="1">
      <alignment horizontal="center"/>
    </xf>
    <xf numFmtId="3" fontId="5" fillId="5" borderId="1" xfId="0" applyNumberFormat="1" applyFont="1" applyFill="1" applyBorder="1"/>
    <xf numFmtId="164" fontId="5" fillId="5" borderId="1" xfId="0" applyNumberFormat="1" applyFont="1" applyFill="1" applyBorder="1"/>
    <xf numFmtId="0" fontId="8" fillId="0" borderId="0" xfId="0" applyFont="1" applyAlignment="1">
      <alignment wrapText="1"/>
    </xf>
    <xf numFmtId="0" fontId="1" fillId="0" borderId="1" xfId="0" applyFont="1" applyBorder="1" applyAlignment="1">
      <alignment vertical="center" wrapText="1"/>
    </xf>
    <xf numFmtId="0" fontId="8" fillId="0" borderId="0" xfId="0" applyFont="1" applyAlignment="1">
      <alignment vertical="top" wrapText="1"/>
    </xf>
    <xf numFmtId="0" fontId="1" fillId="0" borderId="0" xfId="0" applyFont="1" applyAlignment="1">
      <alignment vertical="top"/>
    </xf>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BE4B48"/>
      <rgbColor rgb="FFF9F9F9"/>
      <rgbColor rgb="FFCCFFFF"/>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3CCCC"/>
      <rgbColor rgb="FF99CC00"/>
      <rgbColor rgb="FFFFCC00"/>
      <rgbColor rgb="FFFF9900"/>
      <rgbColor rgb="FFFF6600"/>
      <rgbColor rgb="FF4A7EBB"/>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GB" sz="1800" b="1" strike="noStrike" spc="-1">
                <a:solidFill>
                  <a:srgbClr val="000000"/>
                </a:solidFill>
                <a:latin typeface="Calibri"/>
              </a:rPr>
              <a:t>ADSBG projected exposure vs CGSS actual growth (Rs crore)</a:t>
            </a:r>
          </a:p>
        </c:rich>
      </c:tx>
      <c:overlay val="0"/>
      <c:spPr>
        <a:noFill/>
        <a:ln w="0">
          <a:noFill/>
        </a:ln>
      </c:spPr>
    </c:title>
    <c:autoTitleDeleted val="0"/>
    <c:plotArea>
      <c:layout/>
      <c:lineChart>
        <c:grouping val="standard"/>
        <c:varyColors val="0"/>
        <c:ser>
          <c:idx val="0"/>
          <c:order val="0"/>
          <c:tx>
            <c:strRef>
              <c:f>'Growth Projection'!$C$6</c:f>
              <c:strCache>
                <c:ptCount val="1"/>
                <c:pt idx="0">
                  <c:v>CGSS cumulative (Rs cr)</c:v>
                </c:pt>
              </c:strCache>
            </c:strRef>
          </c:tx>
          <c:spPr>
            <a:ln w="28440">
              <a:solidFill>
                <a:srgbClr val="4A7EBB"/>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'Growth Projection'!$A$7:$A$16</c:f>
              <c:numCache>
                <c:formatCode>General</c:formatCode>
                <c:ptCount val="10"/>
                <c:pt idx="0">
                  <c:v>1</c:v>
                </c:pt>
                <c:pt idx="1">
                  <c:v>2</c:v>
                </c:pt>
                <c:pt idx="2">
                  <c:v>3</c:v>
                </c:pt>
                <c:pt idx="3">
                  <c:v>4</c:v>
                </c:pt>
                <c:pt idx="4">
                  <c:v>5</c:v>
                </c:pt>
                <c:pt idx="5">
                  <c:v>6</c:v>
                </c:pt>
                <c:pt idx="6">
                  <c:v>7</c:v>
                </c:pt>
                <c:pt idx="7">
                  <c:v>8</c:v>
                </c:pt>
                <c:pt idx="8">
                  <c:v>9</c:v>
                </c:pt>
                <c:pt idx="9">
                  <c:v>10</c:v>
                </c:pt>
              </c:numCache>
            </c:numRef>
          </c:cat>
          <c:val>
            <c:numRef>
              <c:f>'Growth Projection'!$C$7:$C$16</c:f>
              <c:numCache>
                <c:formatCode>#,##0</c:formatCode>
                <c:ptCount val="10"/>
                <c:pt idx="0">
                  <c:v>0</c:v>
                </c:pt>
                <c:pt idx="1">
                  <c:v>120</c:v>
                </c:pt>
                <c:pt idx="2">
                  <c:v>604</c:v>
                </c:pt>
              </c:numCache>
            </c:numRef>
          </c:val>
          <c:smooth val="1"/>
          <c:extLst>
            <c:ext xmlns:c16="http://schemas.microsoft.com/office/drawing/2014/chart" uri="{C3380CC4-5D6E-409C-BE32-E72D297353CC}">
              <c16:uniqueId val="{00000000-05BF-4970-B3A2-98DFAE7F74FA}"/>
            </c:ext>
          </c:extLst>
        </c:ser>
        <c:ser>
          <c:idx val="1"/>
          <c:order val="1"/>
          <c:tx>
            <c:strRef>
              <c:f>'Growth Projection'!$D$6</c:f>
              <c:strCache>
                <c:ptCount val="1"/>
                <c:pt idx="0">
                  <c:v>ADSBG cumulative exposure (Rs cr), projected</c:v>
                </c:pt>
              </c:strCache>
            </c:strRef>
          </c:tx>
          <c:spPr>
            <a:ln w="28440">
              <a:solidFill>
                <a:srgbClr val="BE4B48"/>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'Growth Projection'!$A$7:$A$16</c:f>
              <c:numCache>
                <c:formatCode>General</c:formatCode>
                <c:ptCount val="10"/>
                <c:pt idx="0">
                  <c:v>1</c:v>
                </c:pt>
                <c:pt idx="1">
                  <c:v>2</c:v>
                </c:pt>
                <c:pt idx="2">
                  <c:v>3</c:v>
                </c:pt>
                <c:pt idx="3">
                  <c:v>4</c:v>
                </c:pt>
                <c:pt idx="4">
                  <c:v>5</c:v>
                </c:pt>
                <c:pt idx="5">
                  <c:v>6</c:v>
                </c:pt>
                <c:pt idx="6">
                  <c:v>7</c:v>
                </c:pt>
                <c:pt idx="7">
                  <c:v>8</c:v>
                </c:pt>
                <c:pt idx="8">
                  <c:v>9</c:v>
                </c:pt>
                <c:pt idx="9">
                  <c:v>10</c:v>
                </c:pt>
              </c:numCache>
            </c:numRef>
          </c:cat>
          <c:val>
            <c:numRef>
              <c:f>'Growth Projection'!$D$7:$D$16</c:f>
              <c:numCache>
                <c:formatCode>#,##0</c:formatCode>
                <c:ptCount val="10"/>
                <c:pt idx="0">
                  <c:v>2250</c:v>
                </c:pt>
                <c:pt idx="1">
                  <c:v>3150</c:v>
                </c:pt>
                <c:pt idx="2">
                  <c:v>4410</c:v>
                </c:pt>
                <c:pt idx="3">
                  <c:v>6174</c:v>
                </c:pt>
                <c:pt idx="4">
                  <c:v>8643.5999999999985</c:v>
                </c:pt>
                <c:pt idx="5">
                  <c:v>12101.039999999997</c:v>
                </c:pt>
                <c:pt idx="6">
                  <c:v>16941.455999999995</c:v>
                </c:pt>
                <c:pt idx="7">
                  <c:v>23718.03839999999</c:v>
                </c:pt>
                <c:pt idx="8">
                  <c:v>33205.253759999985</c:v>
                </c:pt>
                <c:pt idx="9">
                  <c:v>46487.355263999976</c:v>
                </c:pt>
              </c:numCache>
            </c:numRef>
          </c:val>
          <c:smooth val="1"/>
          <c:extLst>
            <c:ext xmlns:c16="http://schemas.microsoft.com/office/drawing/2014/chart" uri="{C3380CC4-5D6E-409C-BE32-E72D297353CC}">
              <c16:uniqueId val="{00000001-05BF-4970-B3A2-98DFAE7F74FA}"/>
            </c:ext>
          </c:extLst>
        </c:ser>
        <c:dLbls>
          <c:showLegendKey val="0"/>
          <c:showVal val="0"/>
          <c:showCatName val="0"/>
          <c:showSerName val="0"/>
          <c:showPercent val="0"/>
          <c:showBubbleSize val="0"/>
        </c:dLbls>
        <c:hiLowLines>
          <c:spPr>
            <a:ln w="0">
              <a:noFill/>
            </a:ln>
          </c:spPr>
        </c:hiLowLines>
        <c:smooth val="0"/>
        <c:axId val="63867214"/>
        <c:axId val="41503094"/>
      </c:lineChart>
      <c:catAx>
        <c:axId val="63867214"/>
        <c:scaling>
          <c:orientation val="minMax"/>
        </c:scaling>
        <c:delete val="0"/>
        <c:axPos val="b"/>
        <c:title>
          <c:tx>
            <c:rich>
              <a:bodyPr rot="0"/>
              <a:lstStyle/>
              <a:p>
                <a:pPr>
                  <a:defRPr sz="1000" b="1" strike="noStrike" spc="-1">
                    <a:solidFill>
                      <a:srgbClr val="000000"/>
                    </a:solidFill>
                    <a:latin typeface="Calibri"/>
                  </a:defRPr>
                </a:pPr>
                <a:r>
                  <a:rPr lang="en-GB" sz="1000" b="1" strike="noStrike" spc="-1">
                    <a:solidFill>
                      <a:srgbClr val="000000"/>
                    </a:solidFill>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41503094"/>
        <c:crosses val="autoZero"/>
        <c:auto val="1"/>
        <c:lblAlgn val="ctr"/>
        <c:lblOffset val="100"/>
        <c:noMultiLvlLbl val="0"/>
      </c:catAx>
      <c:valAx>
        <c:axId val="41503094"/>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GB" sz="1000" b="1" strike="noStrike" spc="-1">
                    <a:solidFill>
                      <a:srgbClr val="000000"/>
                    </a:solidFill>
                    <a:latin typeface="Calibri"/>
                  </a:rPr>
                  <a:t>Rs crore</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63867214"/>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GB" sz="1800" b="1" strike="noStrike" spc="-1">
                <a:solidFill>
                  <a:srgbClr val="000000"/>
                </a:solidFill>
                <a:latin typeface="Calibri"/>
              </a:rPr>
              <a:t>CGTMSE cumulative growth, illustrative path (Rs '000 crore)</a:t>
            </a:r>
          </a:p>
        </c:rich>
      </c:tx>
      <c:overlay val="0"/>
      <c:spPr>
        <a:noFill/>
        <a:ln w="0">
          <a:noFill/>
        </a:ln>
      </c:spPr>
    </c:title>
    <c:autoTitleDeleted val="0"/>
    <c:plotArea>
      <c:layout/>
      <c:barChart>
        <c:barDir val="col"/>
        <c:grouping val="clustered"/>
        <c:varyColors val="0"/>
        <c:ser>
          <c:idx val="0"/>
          <c:order val="0"/>
          <c:tx>
            <c:strRef>
              <c:f>'Growth Projection'!$B$6</c:f>
              <c:strCache>
                <c:ptCount val="1"/>
                <c:pt idx="0">
                  <c:v>CGTMSE cumulative (Rs '000 cr)</c:v>
                </c:pt>
              </c:strCache>
            </c:strRef>
          </c:tx>
          <c:spPr>
            <a:solidFill>
              <a:srgbClr val="4F81BD"/>
            </a:solidFill>
            <a:ln w="9360">
              <a:solidFill>
                <a:srgbClr val="F9F9F9"/>
              </a:solidFill>
              <a:round/>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'Growth Projection'!$A$7:$A$16</c:f>
              <c:numCache>
                <c:formatCode>General</c:formatCode>
                <c:ptCount val="10"/>
                <c:pt idx="0">
                  <c:v>1</c:v>
                </c:pt>
                <c:pt idx="1">
                  <c:v>2</c:v>
                </c:pt>
                <c:pt idx="2">
                  <c:v>3</c:v>
                </c:pt>
                <c:pt idx="3">
                  <c:v>4</c:v>
                </c:pt>
                <c:pt idx="4">
                  <c:v>5</c:v>
                </c:pt>
                <c:pt idx="5">
                  <c:v>6</c:v>
                </c:pt>
                <c:pt idx="6">
                  <c:v>7</c:v>
                </c:pt>
                <c:pt idx="7">
                  <c:v>8</c:v>
                </c:pt>
                <c:pt idx="8">
                  <c:v>9</c:v>
                </c:pt>
                <c:pt idx="9">
                  <c:v>10</c:v>
                </c:pt>
              </c:numCache>
            </c:numRef>
          </c:cat>
          <c:val>
            <c:numRef>
              <c:f>'Growth Projection'!$B$7:$B$16</c:f>
              <c:numCache>
                <c:formatCode>#,##0</c:formatCode>
                <c:ptCount val="10"/>
                <c:pt idx="0">
                  <c:v>5</c:v>
                </c:pt>
                <c:pt idx="1">
                  <c:v>15</c:v>
                </c:pt>
                <c:pt idx="2">
                  <c:v>35</c:v>
                </c:pt>
                <c:pt idx="3">
                  <c:v>60</c:v>
                </c:pt>
                <c:pt idx="4">
                  <c:v>95</c:v>
                </c:pt>
                <c:pt idx="5">
                  <c:v>140</c:v>
                </c:pt>
                <c:pt idx="6">
                  <c:v>195</c:v>
                </c:pt>
                <c:pt idx="7">
                  <c:v>260</c:v>
                </c:pt>
                <c:pt idx="8">
                  <c:v>335</c:v>
                </c:pt>
                <c:pt idx="9">
                  <c:v>420</c:v>
                </c:pt>
              </c:numCache>
            </c:numRef>
          </c:val>
          <c:extLst>
            <c:ext xmlns:c16="http://schemas.microsoft.com/office/drawing/2014/chart" uri="{C3380CC4-5D6E-409C-BE32-E72D297353CC}">
              <c16:uniqueId val="{00000000-E9A1-4531-B2F7-938415F46F7E}"/>
            </c:ext>
          </c:extLst>
        </c:ser>
        <c:dLbls>
          <c:showLegendKey val="0"/>
          <c:showVal val="0"/>
          <c:showCatName val="0"/>
          <c:showSerName val="0"/>
          <c:showPercent val="0"/>
          <c:showBubbleSize val="0"/>
        </c:dLbls>
        <c:gapWidth val="150"/>
        <c:axId val="40391905"/>
        <c:axId val="14670629"/>
      </c:barChart>
      <c:catAx>
        <c:axId val="40391905"/>
        <c:scaling>
          <c:orientation val="minMax"/>
        </c:scaling>
        <c:delete val="0"/>
        <c:axPos val="b"/>
        <c:title>
          <c:tx>
            <c:rich>
              <a:bodyPr rot="0"/>
              <a:lstStyle/>
              <a:p>
                <a:pPr>
                  <a:defRPr sz="1000" b="1" strike="noStrike" spc="-1">
                    <a:solidFill>
                      <a:srgbClr val="000000"/>
                    </a:solidFill>
                    <a:latin typeface="Calibri"/>
                  </a:defRPr>
                </a:pPr>
                <a:r>
                  <a:rPr lang="en-GB" sz="1000" b="1" strike="noStrike" spc="-1">
                    <a:solidFill>
                      <a:srgbClr val="000000"/>
                    </a:solidFill>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14670629"/>
        <c:crosses val="autoZero"/>
        <c:auto val="1"/>
        <c:lblAlgn val="ctr"/>
        <c:lblOffset val="100"/>
        <c:noMultiLvlLbl val="0"/>
      </c:catAx>
      <c:valAx>
        <c:axId val="14670629"/>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GB" sz="1000" b="1" strike="noStrike" spc="-1">
                    <a:solidFill>
                      <a:srgbClr val="000000"/>
                    </a:solidFill>
                    <a:latin typeface="Calibri"/>
                  </a:rPr>
                  <a:t>Rs '000 crore</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40391905"/>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5</xdr:col>
      <xdr:colOff>0</xdr:colOff>
      <xdr:row>4</xdr:row>
      <xdr:rowOff>160560</xdr:rowOff>
    </xdr:from>
    <xdr:to>
      <xdr:col>17</xdr:col>
      <xdr:colOff>581400</xdr:colOff>
      <xdr:row>25</xdr:row>
      <xdr:rowOff>101940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23</xdr:row>
      <xdr:rowOff>11520</xdr:rowOff>
    </xdr:from>
    <xdr:to>
      <xdr:col>17</xdr:col>
      <xdr:colOff>581400</xdr:colOff>
      <xdr:row>46</xdr:row>
      <xdr:rowOff>132780</xdr:rowOff>
    </xdr:to>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pib.gov.in/FactsheetDetails.aspx?Id=149106&amp;reg=3&amp;lang=1" TargetMode="External"/><Relationship Id="rId3" Type="http://schemas.openxmlformats.org/officeDocument/2006/relationships/hyperlink" Target="https://aspire.financialexpressb2b.com/news/npa-levels-in-cgtmse-backed-msme-loans-hit-multi-year-low-in-fy25-across-states" TargetMode="External"/><Relationship Id="rId7" Type="http://schemas.openxmlformats.org/officeDocument/2006/relationships/hyperlink" Target="https://www.pib.gov.in/PressReleasePage.aspx?PRID=2127843" TargetMode="External"/><Relationship Id="rId2" Type="http://schemas.openxmlformats.org/officeDocument/2006/relationships/hyperlink" Target="https://aspire.financialexpressb2b.com/news/npa-levels-in-cgtmse-backed-msme-loans-hit-multi-year-low-in-fy25-across-states" TargetMode="External"/><Relationship Id="rId1" Type="http://schemas.openxmlformats.org/officeDocument/2006/relationships/hyperlink" Target="https://www.cgtmse.in/" TargetMode="External"/><Relationship Id="rId6" Type="http://schemas.openxmlformats.org/officeDocument/2006/relationships/hyperlink" Target="https://www.pib.gov.in/PressReleasePage.aspx?PRID=2127843" TargetMode="External"/><Relationship Id="rId5" Type="http://schemas.openxmlformats.org/officeDocument/2006/relationships/hyperlink" Target="https://aspire.financialexpressb2b.com/news/npa-levels-in-cgtmse-backed-msme-loans-hit-multi-year-low-in-fy25-across-states" TargetMode="External"/><Relationship Id="rId10" Type="http://schemas.openxmlformats.org/officeDocument/2006/relationships/hyperlink" Target="https://www.pib.gov.in/FactsheetDetails.aspx?Id=149106&amp;reg=3&amp;lang=1" TargetMode="External"/><Relationship Id="rId4" Type="http://schemas.openxmlformats.org/officeDocument/2006/relationships/hyperlink" Target="https://www.cgtmse.in/Default/ViewFile/CGTMSE-AR-2024-25-english.pdf?path=AnnualReport" TargetMode="External"/><Relationship Id="rId9" Type="http://schemas.openxmlformats.org/officeDocument/2006/relationships/hyperlink" Target="https://www.pib.gov.in/FactsheetDetails.aspx?Id=149106&amp;reg=3&amp;lang=1"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hyperlink" Target="https://www.kotakneo.com/investing-guide/articles/india-ai-market-growth-analysis-2025/" TargetMode="External"/><Relationship Id="rId7" Type="http://schemas.openxmlformats.org/officeDocument/2006/relationships/hyperlink" Target="https://techcrunch.com/?p=3079055" TargetMode="External"/><Relationship Id="rId2" Type="http://schemas.openxmlformats.org/officeDocument/2006/relationships/hyperlink" Target="https://www.kotakneo.com/investing-guide/articles/india-ai-market-growth-analysis-2025/" TargetMode="External"/><Relationship Id="rId1" Type="http://schemas.openxmlformats.org/officeDocument/2006/relationships/hyperlink" Target="https://www.kotakneo.com/investing-guide/articles/india-ai-market-growth-analysis-2025/" TargetMode="External"/><Relationship Id="rId6" Type="http://schemas.openxmlformats.org/officeDocument/2006/relationships/hyperlink" Target="https://www.kotakneo.com/investing-guide/articles/india-ai-market-growth-analysis-2025/" TargetMode="External"/><Relationship Id="rId5" Type="http://schemas.openxmlformats.org/officeDocument/2006/relationships/hyperlink" Target="https://www.kotakneo.com/investing-guide/articles/india-ai-market-growth-analysis-2025/" TargetMode="External"/><Relationship Id="rId4" Type="http://schemas.openxmlformats.org/officeDocument/2006/relationships/hyperlink" Target="https://www.kotakneo.com/investing-guide/articles/india-ai-market-growth-analysis-202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19"/>
  <sheetViews>
    <sheetView showGridLines="0" tabSelected="1" zoomScaleNormal="100" workbookViewId="0">
      <selection activeCell="C30" sqref="C30"/>
    </sheetView>
  </sheetViews>
  <sheetFormatPr defaultColWidth="8.6640625" defaultRowHeight="13.8" x14ac:dyDescent="0.25"/>
  <cols>
    <col min="1" max="1" width="41" style="1" customWidth="1"/>
    <col min="2" max="2" width="22" style="1" customWidth="1"/>
    <col min="3" max="3" width="16" style="1" customWidth="1"/>
    <col min="4" max="4" width="45" style="1" customWidth="1"/>
    <col min="5" max="16384" width="8.6640625" style="1"/>
  </cols>
  <sheetData>
    <row r="1" spans="1:4" ht="17.399999999999999" x14ac:dyDescent="0.3">
      <c r="A1" s="11" t="s">
        <v>0</v>
      </c>
      <c r="B1" s="11"/>
      <c r="C1" s="11"/>
      <c r="D1" s="11"/>
    </row>
    <row r="3" spans="1:4" x14ac:dyDescent="0.25">
      <c r="A3" s="2" t="s">
        <v>1</v>
      </c>
    </row>
    <row r="4" spans="1:4" x14ac:dyDescent="0.25">
      <c r="A4" s="3" t="s">
        <v>2</v>
      </c>
      <c r="B4" s="3" t="s">
        <v>3</v>
      </c>
      <c r="C4" s="3" t="s">
        <v>4</v>
      </c>
      <c r="D4" s="3" t="s">
        <v>5</v>
      </c>
    </row>
    <row r="5" spans="1:4" x14ac:dyDescent="0.25">
      <c r="A5" s="4" t="s">
        <v>6</v>
      </c>
      <c r="B5" s="4">
        <v>2000</v>
      </c>
      <c r="C5" s="4" t="s">
        <v>7</v>
      </c>
      <c r="D5" s="5" t="s">
        <v>8</v>
      </c>
    </row>
    <row r="6" spans="1:4" x14ac:dyDescent="0.25">
      <c r="A6" s="4" t="s">
        <v>9</v>
      </c>
      <c r="B6" s="4" t="s">
        <v>10</v>
      </c>
      <c r="C6" s="4" t="s">
        <v>11</v>
      </c>
      <c r="D6" s="5" t="s">
        <v>12</v>
      </c>
    </row>
    <row r="7" spans="1:4" x14ac:dyDescent="0.25">
      <c r="A7" s="4" t="s">
        <v>13</v>
      </c>
      <c r="B7" s="4" t="s">
        <v>14</v>
      </c>
      <c r="C7" s="4" t="s">
        <v>11</v>
      </c>
      <c r="D7" s="5" t="s">
        <v>12</v>
      </c>
    </row>
    <row r="8" spans="1:4" x14ac:dyDescent="0.25">
      <c r="A8" s="4" t="s">
        <v>15</v>
      </c>
      <c r="B8" s="4" t="s">
        <v>16</v>
      </c>
      <c r="C8" s="4" t="s">
        <v>17</v>
      </c>
      <c r="D8" s="5" t="s">
        <v>18</v>
      </c>
    </row>
    <row r="9" spans="1:4" x14ac:dyDescent="0.25">
      <c r="A9" s="4" t="s">
        <v>19</v>
      </c>
      <c r="B9" s="4" t="s">
        <v>20</v>
      </c>
      <c r="C9" s="4" t="s">
        <v>21</v>
      </c>
      <c r="D9" s="5" t="s">
        <v>12</v>
      </c>
    </row>
    <row r="11" spans="1:4" x14ac:dyDescent="0.25">
      <c r="A11" s="2" t="s">
        <v>22</v>
      </c>
    </row>
    <row r="12" spans="1:4" x14ac:dyDescent="0.25">
      <c r="A12" s="3" t="s">
        <v>2</v>
      </c>
      <c r="B12" s="3" t="s">
        <v>3</v>
      </c>
      <c r="C12" s="3" t="s">
        <v>4</v>
      </c>
      <c r="D12" s="3" t="s">
        <v>5</v>
      </c>
    </row>
    <row r="13" spans="1:4" x14ac:dyDescent="0.25">
      <c r="A13" s="4" t="s">
        <v>6</v>
      </c>
      <c r="B13" s="4">
        <v>2022</v>
      </c>
      <c r="C13" s="4" t="s">
        <v>23</v>
      </c>
      <c r="D13" s="5" t="s">
        <v>24</v>
      </c>
    </row>
    <row r="14" spans="1:4" x14ac:dyDescent="0.25">
      <c r="A14" s="4" t="s">
        <v>25</v>
      </c>
      <c r="B14" s="4" t="s">
        <v>26</v>
      </c>
      <c r="C14" s="4" t="s">
        <v>27</v>
      </c>
      <c r="D14" s="5" t="s">
        <v>28</v>
      </c>
    </row>
    <row r="15" spans="1:4" x14ac:dyDescent="0.25">
      <c r="A15" s="4" t="s">
        <v>29</v>
      </c>
      <c r="B15" s="4">
        <v>260</v>
      </c>
      <c r="C15" s="4" t="s">
        <v>30</v>
      </c>
      <c r="D15" s="5" t="s">
        <v>31</v>
      </c>
    </row>
    <row r="16" spans="1:4" x14ac:dyDescent="0.25">
      <c r="A16" s="4" t="s">
        <v>32</v>
      </c>
      <c r="B16" s="4" t="s">
        <v>33</v>
      </c>
      <c r="C16" s="4" t="s">
        <v>30</v>
      </c>
      <c r="D16" s="5" t="s">
        <v>31</v>
      </c>
    </row>
    <row r="17" spans="1:4" x14ac:dyDescent="0.25">
      <c r="A17" s="4" t="s">
        <v>34</v>
      </c>
      <c r="B17" s="4">
        <v>209</v>
      </c>
      <c r="C17" s="4" t="s">
        <v>30</v>
      </c>
      <c r="D17" s="5" t="s">
        <v>31</v>
      </c>
    </row>
    <row r="19" spans="1:4" ht="30" customHeight="1" x14ac:dyDescent="0.25">
      <c r="A19" s="16" t="s">
        <v>35</v>
      </c>
      <c r="B19" s="16"/>
      <c r="C19" s="16"/>
      <c r="D19" s="16"/>
    </row>
  </sheetData>
  <mergeCells count="2">
    <mergeCell ref="A19:D19"/>
    <mergeCell ref="A1:D1"/>
  </mergeCells>
  <hyperlinks>
    <hyperlink ref="D5" r:id="rId1" xr:uid="{00000000-0004-0000-0100-000000000000}"/>
    <hyperlink ref="D6" r:id="rId2" xr:uid="{00000000-0004-0000-0100-000001000000}"/>
    <hyperlink ref="D7" r:id="rId3" xr:uid="{00000000-0004-0000-0100-000002000000}"/>
    <hyperlink ref="D8" r:id="rId4" xr:uid="{00000000-0004-0000-0100-000003000000}"/>
    <hyperlink ref="D9" r:id="rId5" xr:uid="{00000000-0004-0000-0100-000004000000}"/>
    <hyperlink ref="D13" r:id="rId6" xr:uid="{00000000-0004-0000-0100-000005000000}"/>
    <hyperlink ref="D14" r:id="rId7" xr:uid="{00000000-0004-0000-0100-000006000000}"/>
    <hyperlink ref="D15" r:id="rId8" xr:uid="{00000000-0004-0000-0100-000007000000}"/>
    <hyperlink ref="D16" r:id="rId9" xr:uid="{00000000-0004-0000-0100-000008000000}"/>
    <hyperlink ref="D17" r:id="rId10" xr:uid="{00000000-0004-0000-0100-000009000000}"/>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8"/>
  <sheetViews>
    <sheetView showGridLines="0" zoomScaleNormal="100" workbookViewId="0">
      <selection activeCell="A18" sqref="A18:D18"/>
    </sheetView>
  </sheetViews>
  <sheetFormatPr defaultColWidth="8.6640625" defaultRowHeight="13.8" x14ac:dyDescent="0.25"/>
  <cols>
    <col min="1" max="1" width="60.21875" style="1" bestFit="1" customWidth="1"/>
    <col min="2" max="5" width="16" style="1" customWidth="1"/>
    <col min="6" max="16384" width="8.6640625" style="1"/>
  </cols>
  <sheetData>
    <row r="1" spans="1:2" ht="17.399999999999999" x14ac:dyDescent="0.3">
      <c r="A1" s="11" t="s">
        <v>36</v>
      </c>
      <c r="B1" s="11"/>
    </row>
    <row r="3" spans="1:2" x14ac:dyDescent="0.25">
      <c r="A3" s="6" t="s">
        <v>37</v>
      </c>
      <c r="B3" s="6"/>
    </row>
    <row r="4" spans="1:2" x14ac:dyDescent="0.25">
      <c r="A4" s="4" t="s">
        <v>38</v>
      </c>
      <c r="B4" s="12">
        <v>200</v>
      </c>
    </row>
    <row r="5" spans="1:2" x14ac:dyDescent="0.25">
      <c r="A5" s="4" t="s">
        <v>39</v>
      </c>
      <c r="B5" s="12">
        <v>15</v>
      </c>
    </row>
    <row r="6" spans="1:2" x14ac:dyDescent="0.25">
      <c r="A6" s="4" t="s">
        <v>40</v>
      </c>
      <c r="B6" s="13">
        <v>0.75</v>
      </c>
    </row>
    <row r="7" spans="1:2" x14ac:dyDescent="0.25">
      <c r="A7" s="4" t="s">
        <v>41</v>
      </c>
      <c r="B7" s="13">
        <v>2.5000000000000001E-2</v>
      </c>
    </row>
    <row r="8" spans="1:2" x14ac:dyDescent="0.25">
      <c r="A8" s="4" t="s">
        <v>42</v>
      </c>
      <c r="B8" s="13">
        <v>0.15</v>
      </c>
    </row>
    <row r="9" spans="1:2" x14ac:dyDescent="0.25">
      <c r="A9" s="4" t="s">
        <v>43</v>
      </c>
      <c r="B9" s="13">
        <v>0.2</v>
      </c>
    </row>
    <row r="11" spans="1:2" x14ac:dyDescent="0.25">
      <c r="A11" s="6" t="s">
        <v>44</v>
      </c>
      <c r="B11" s="6"/>
    </row>
    <row r="12" spans="1:2" x14ac:dyDescent="0.25">
      <c r="A12" s="4" t="s">
        <v>45</v>
      </c>
      <c r="B12" s="8">
        <f>B4*B5</f>
        <v>3000</v>
      </c>
    </row>
    <row r="13" spans="1:2" x14ac:dyDescent="0.25">
      <c r="A13" s="4" t="s">
        <v>46</v>
      </c>
      <c r="B13" s="8">
        <f>B12*B6</f>
        <v>2250</v>
      </c>
    </row>
    <row r="14" spans="1:2" x14ac:dyDescent="0.25">
      <c r="A14" s="4" t="s">
        <v>47</v>
      </c>
      <c r="B14" s="8">
        <f>B12*B7</f>
        <v>75</v>
      </c>
    </row>
    <row r="15" spans="1:2" x14ac:dyDescent="0.25">
      <c r="A15" s="4" t="s">
        <v>48</v>
      </c>
      <c r="B15" s="8">
        <f>B12*B8*B6*(1-B9)</f>
        <v>270</v>
      </c>
    </row>
    <row r="16" spans="1:2" x14ac:dyDescent="0.25">
      <c r="A16" s="4" t="s">
        <v>49</v>
      </c>
      <c r="B16" s="8">
        <f>B14-B15</f>
        <v>-195</v>
      </c>
    </row>
    <row r="18" spans="1:4" ht="33" customHeight="1" x14ac:dyDescent="0.25">
      <c r="A18" s="16" t="s">
        <v>76</v>
      </c>
      <c r="B18" s="16"/>
      <c r="C18" s="16"/>
      <c r="D18" s="16"/>
    </row>
  </sheetData>
  <mergeCells count="4">
    <mergeCell ref="A3:B3"/>
    <mergeCell ref="A11:B11"/>
    <mergeCell ref="A18:D18"/>
    <mergeCell ref="A1:B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0"/>
  <sheetViews>
    <sheetView showGridLines="0" zoomScaleNormal="100" workbookViewId="0">
      <selection activeCell="A18" sqref="A18:D18"/>
    </sheetView>
  </sheetViews>
  <sheetFormatPr defaultColWidth="8.6640625" defaultRowHeight="13.8" x14ac:dyDescent="0.25"/>
  <cols>
    <col min="1" max="1" width="29.44140625" style="1" customWidth="1"/>
    <col min="2" max="2" width="20" style="1" customWidth="1"/>
    <col min="3" max="3" width="16.6640625" style="1" customWidth="1"/>
    <col min="4" max="4" width="37.109375" style="1" customWidth="1"/>
    <col min="5" max="5" width="20" style="1" customWidth="1"/>
    <col min="6" max="16384" width="8.6640625" style="1"/>
  </cols>
  <sheetData>
    <row r="1" spans="1:5" ht="17.399999999999999" x14ac:dyDescent="0.3">
      <c r="A1" s="11" t="s">
        <v>50</v>
      </c>
      <c r="B1" s="11"/>
      <c r="C1" s="11"/>
      <c r="D1" s="11"/>
      <c r="E1" s="11"/>
    </row>
    <row r="2" spans="1:5" ht="30" customHeight="1" x14ac:dyDescent="0.25">
      <c r="A2" s="14" t="s">
        <v>51</v>
      </c>
      <c r="B2" s="14"/>
      <c r="C2" s="14"/>
      <c r="D2" s="14"/>
      <c r="E2" s="14"/>
    </row>
    <row r="4" spans="1:5" ht="27.6" x14ac:dyDescent="0.25">
      <c r="A4" s="15" t="s">
        <v>52</v>
      </c>
      <c r="B4" s="7">
        <v>0.4</v>
      </c>
    </row>
    <row r="6" spans="1:5" ht="41.4" x14ac:dyDescent="0.25">
      <c r="A6" s="3" t="s">
        <v>53</v>
      </c>
      <c r="B6" s="3" t="s">
        <v>54</v>
      </c>
      <c r="C6" s="3" t="s">
        <v>55</v>
      </c>
      <c r="D6" s="3" t="s">
        <v>56</v>
      </c>
    </row>
    <row r="7" spans="1:5" x14ac:dyDescent="0.25">
      <c r="A7" s="4">
        <v>1</v>
      </c>
      <c r="B7" s="9">
        <v>5</v>
      </c>
      <c r="C7" s="9">
        <v>0</v>
      </c>
      <c r="D7" s="9">
        <f>'Exposure Model'!B13</f>
        <v>2250</v>
      </c>
    </row>
    <row r="8" spans="1:5" x14ac:dyDescent="0.25">
      <c r="A8" s="4">
        <v>2</v>
      </c>
      <c r="B8" s="9">
        <v>15</v>
      </c>
      <c r="C8" s="9">
        <v>120</v>
      </c>
      <c r="D8" s="9">
        <f t="shared" ref="D8:D16" si="0">D7*(1+$B$4)</f>
        <v>3150</v>
      </c>
    </row>
    <row r="9" spans="1:5" x14ac:dyDescent="0.25">
      <c r="A9" s="4">
        <v>3</v>
      </c>
      <c r="B9" s="9">
        <v>35</v>
      </c>
      <c r="C9" s="9">
        <v>604</v>
      </c>
      <c r="D9" s="9">
        <f t="shared" si="0"/>
        <v>4410</v>
      </c>
    </row>
    <row r="10" spans="1:5" x14ac:dyDescent="0.25">
      <c r="A10" s="4">
        <v>4</v>
      </c>
      <c r="B10" s="9">
        <v>60</v>
      </c>
      <c r="C10" s="9"/>
      <c r="D10" s="9">
        <f t="shared" si="0"/>
        <v>6174</v>
      </c>
    </row>
    <row r="11" spans="1:5" x14ac:dyDescent="0.25">
      <c r="A11" s="4">
        <v>5</v>
      </c>
      <c r="B11" s="9">
        <v>95</v>
      </c>
      <c r="C11" s="9"/>
      <c r="D11" s="9">
        <f t="shared" si="0"/>
        <v>8643.5999999999985</v>
      </c>
    </row>
    <row r="12" spans="1:5" x14ac:dyDescent="0.25">
      <c r="A12" s="4">
        <v>6</v>
      </c>
      <c r="B12" s="9">
        <v>140</v>
      </c>
      <c r="C12" s="9"/>
      <c r="D12" s="9">
        <f t="shared" si="0"/>
        <v>12101.039999999997</v>
      </c>
    </row>
    <row r="13" spans="1:5" x14ac:dyDescent="0.25">
      <c r="A13" s="4">
        <v>7</v>
      </c>
      <c r="B13" s="9">
        <v>195</v>
      </c>
      <c r="C13" s="9"/>
      <c r="D13" s="9">
        <f t="shared" si="0"/>
        <v>16941.455999999995</v>
      </c>
    </row>
    <row r="14" spans="1:5" x14ac:dyDescent="0.25">
      <c r="A14" s="4">
        <v>8</v>
      </c>
      <c r="B14" s="9">
        <v>260</v>
      </c>
      <c r="C14" s="9"/>
      <c r="D14" s="9">
        <f t="shared" si="0"/>
        <v>23718.03839999999</v>
      </c>
    </row>
    <row r="15" spans="1:5" x14ac:dyDescent="0.25">
      <c r="A15" s="4">
        <v>9</v>
      </c>
      <c r="B15" s="9">
        <v>335</v>
      </c>
      <c r="C15" s="9"/>
      <c r="D15" s="9">
        <f t="shared" si="0"/>
        <v>33205.253759999985</v>
      </c>
    </row>
    <row r="16" spans="1:5" x14ac:dyDescent="0.25">
      <c r="A16" s="4">
        <v>10</v>
      </c>
      <c r="B16" s="9">
        <v>420</v>
      </c>
      <c r="C16" s="9"/>
      <c r="D16" s="9">
        <f t="shared" si="0"/>
        <v>46487.355263999976</v>
      </c>
    </row>
    <row r="18" spans="1:4" ht="30" customHeight="1" x14ac:dyDescent="0.25">
      <c r="A18" s="16" t="s">
        <v>77</v>
      </c>
      <c r="B18" s="16"/>
      <c r="C18" s="16"/>
      <c r="D18" s="16"/>
    </row>
    <row r="20" spans="1:4" x14ac:dyDescent="0.25">
      <c r="A20" s="10"/>
      <c r="B20" s="10"/>
      <c r="C20" s="10"/>
      <c r="D20" s="10"/>
    </row>
  </sheetData>
  <mergeCells count="4">
    <mergeCell ref="A2:E2"/>
    <mergeCell ref="A18:D18"/>
    <mergeCell ref="A20:D20"/>
    <mergeCell ref="A1:E1"/>
  </mergeCells>
  <pageMargins left="0.75" right="0.75" top="1" bottom="1"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2"/>
  <sheetViews>
    <sheetView showGridLines="0" zoomScaleNormal="100" workbookViewId="0">
      <selection activeCell="B15" sqref="B15"/>
    </sheetView>
  </sheetViews>
  <sheetFormatPr defaultColWidth="8.6640625" defaultRowHeight="13.8" x14ac:dyDescent="0.25"/>
  <cols>
    <col min="1" max="1" width="31.21875" style="1" customWidth="1"/>
    <col min="2" max="3" width="16" style="1" customWidth="1"/>
    <col min="4" max="4" width="45" style="1" customWidth="1"/>
    <col min="5" max="16384" width="8.6640625" style="1"/>
  </cols>
  <sheetData>
    <row r="1" spans="1:4" ht="17.399999999999999" x14ac:dyDescent="0.3">
      <c r="A1" s="11" t="s">
        <v>57</v>
      </c>
      <c r="B1" s="11"/>
      <c r="C1" s="11"/>
      <c r="D1" s="11"/>
    </row>
    <row r="3" spans="1:4" x14ac:dyDescent="0.25">
      <c r="A3" s="3" t="s">
        <v>2</v>
      </c>
      <c r="B3" s="3" t="s">
        <v>3</v>
      </c>
      <c r="C3" s="3" t="s">
        <v>58</v>
      </c>
      <c r="D3" s="3" t="s">
        <v>5</v>
      </c>
    </row>
    <row r="4" spans="1:4" x14ac:dyDescent="0.25">
      <c r="A4" s="4" t="s">
        <v>70</v>
      </c>
      <c r="B4" s="4" t="s">
        <v>59</v>
      </c>
      <c r="C4" s="4" t="s">
        <v>60</v>
      </c>
      <c r="D4" s="5" t="s">
        <v>61</v>
      </c>
    </row>
    <row r="5" spans="1:4" x14ac:dyDescent="0.25">
      <c r="A5" s="4" t="s">
        <v>71</v>
      </c>
      <c r="B5" s="4" t="s">
        <v>62</v>
      </c>
      <c r="C5" s="4" t="s">
        <v>60</v>
      </c>
      <c r="D5" s="5" t="s">
        <v>61</v>
      </c>
    </row>
    <row r="6" spans="1:4" x14ac:dyDescent="0.25">
      <c r="A6" s="4" t="s">
        <v>72</v>
      </c>
      <c r="B6" s="4" t="s">
        <v>63</v>
      </c>
      <c r="C6" s="4" t="s">
        <v>60</v>
      </c>
      <c r="D6" s="5" t="s">
        <v>61</v>
      </c>
    </row>
    <row r="7" spans="1:4" x14ac:dyDescent="0.25">
      <c r="A7" s="4" t="s">
        <v>73</v>
      </c>
      <c r="B7" s="4">
        <v>230</v>
      </c>
      <c r="C7" s="4" t="s">
        <v>64</v>
      </c>
      <c r="D7" s="5" t="s">
        <v>61</v>
      </c>
    </row>
    <row r="8" spans="1:4" x14ac:dyDescent="0.25">
      <c r="A8" s="4" t="s">
        <v>74</v>
      </c>
      <c r="B8" s="4">
        <v>187</v>
      </c>
      <c r="C8" s="4" t="s">
        <v>64</v>
      </c>
      <c r="D8" s="5" t="s">
        <v>61</v>
      </c>
    </row>
    <row r="9" spans="1:4" x14ac:dyDescent="0.25">
      <c r="A9" s="4" t="s">
        <v>75</v>
      </c>
      <c r="B9" s="4">
        <v>8</v>
      </c>
      <c r="C9" s="4" t="s">
        <v>64</v>
      </c>
      <c r="D9" s="5" t="s">
        <v>61</v>
      </c>
    </row>
    <row r="10" spans="1:4" x14ac:dyDescent="0.25">
      <c r="A10" s="4" t="s">
        <v>65</v>
      </c>
      <c r="B10" s="4" t="s">
        <v>66</v>
      </c>
      <c r="C10" s="4" t="s">
        <v>67</v>
      </c>
      <c r="D10" s="5" t="s">
        <v>68</v>
      </c>
    </row>
    <row r="12" spans="1:4" s="17" customFormat="1" ht="30" customHeight="1" x14ac:dyDescent="0.3">
      <c r="A12" s="16" t="s">
        <v>69</v>
      </c>
      <c r="B12" s="16"/>
      <c r="C12" s="16"/>
      <c r="D12" s="16"/>
    </row>
  </sheetData>
  <mergeCells count="2">
    <mergeCell ref="A12:D12"/>
    <mergeCell ref="A1:D1"/>
  </mergeCells>
  <hyperlinks>
    <hyperlink ref="D4" r:id="rId1" xr:uid="{00000000-0004-0000-0400-000000000000}"/>
    <hyperlink ref="D5" r:id="rId2" xr:uid="{00000000-0004-0000-0400-000001000000}"/>
    <hyperlink ref="D6" r:id="rId3" xr:uid="{00000000-0004-0000-0400-000002000000}"/>
    <hyperlink ref="D7" r:id="rId4" xr:uid="{00000000-0004-0000-0400-000003000000}"/>
    <hyperlink ref="D8" r:id="rId5" xr:uid="{00000000-0004-0000-0400-000004000000}"/>
    <hyperlink ref="D9" r:id="rId6" xr:uid="{00000000-0004-0000-0400-000005000000}"/>
    <hyperlink ref="D10" r:id="rId7" xr:uid="{00000000-0004-0000-0400-000006000000}"/>
  </hyperlink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Benchmark Data</vt:lpstr>
      <vt:lpstr>Exposure Model</vt:lpstr>
      <vt:lpstr>Growth Projection</vt:lpstr>
      <vt:lpstr>Funding Gap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Shaurya Vijay Sinha</cp:lastModifiedBy>
  <cp:revision>1</cp:revision>
  <dcterms:created xsi:type="dcterms:W3CDTF">2026-07-22T21:03:29Z</dcterms:created>
  <dcterms:modified xsi:type="dcterms:W3CDTF">2026-09-12T11:43:40Z</dcterms:modified>
  <dc:language>en-US</dc:language>
</cp:coreProperties>
</file>