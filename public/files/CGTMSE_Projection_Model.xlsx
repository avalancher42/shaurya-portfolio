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85ce1d877cc4d9f/Desktop/NFPRC/Projects/"/>
    </mc:Choice>
  </mc:AlternateContent>
  <xr:revisionPtr revIDLastSave="184" documentId="11_3ADE6954ACABA76225D8DA324AFD7DAE38AC802E" xr6:coauthVersionLast="47" xr6:coauthVersionMax="47" xr10:uidLastSave="{3CE54E6C-F438-4AAE-9B79-22238EE64747}"/>
  <bookViews>
    <workbookView xWindow="-108" yWindow="-108" windowWidth="23256" windowHeight="13176" tabRatio="500" xr2:uid="{00000000-000D-0000-FFFF-FFFF00000000}"/>
  </bookViews>
  <sheets>
    <sheet name="CGTMSE Projection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1" l="1"/>
  <c r="F20" i="1" s="1"/>
  <c r="C19" i="1"/>
  <c r="C20" i="1" s="1"/>
  <c r="C21" i="1" s="1"/>
  <c r="C22" i="1" s="1"/>
  <c r="C23" i="1" s="1"/>
  <c r="C24" i="1" s="1"/>
  <c r="B31" i="1" s="1"/>
  <c r="B19" i="1"/>
  <c r="E19" i="1" l="1"/>
  <c r="B20" i="1"/>
  <c r="D19" i="1"/>
  <c r="F21" i="1"/>
  <c r="E20" i="1"/>
  <c r="F22" i="1" l="1"/>
  <c r="E21" i="1"/>
  <c r="B21" i="1"/>
  <c r="D20" i="1"/>
  <c r="B22" i="1" l="1"/>
  <c r="D21" i="1"/>
  <c r="F23" i="1"/>
  <c r="E22" i="1"/>
  <c r="F24" i="1" l="1"/>
  <c r="E24" i="1" s="1"/>
  <c r="E23" i="1"/>
  <c r="B23" i="1"/>
  <c r="D22" i="1"/>
  <c r="B24" i="1" l="1"/>
  <c r="D23" i="1"/>
  <c r="B30" i="1" l="1"/>
  <c r="D24" i="1"/>
  <c r="B33" i="1" l="1"/>
  <c r="B32" i="1"/>
</calcChain>
</file>

<file path=xl/sharedStrings.xml><?xml version="1.0" encoding="utf-8"?>
<sst xmlns="http://schemas.openxmlformats.org/spreadsheetml/2006/main" count="37" uniqueCount="37">
  <si>
    <t>CGTMSE: Projected Guarantee Exposure Under Flat vs Risk-Tiered Pricing (FY25-FY30)</t>
  </si>
  <si>
    <t>Base year cumulative guarantee exposure, FY25 (Rs Lakh Crore)</t>
  </si>
  <si>
    <t>Historical CAGR, flat-rate status quo (%)</t>
  </si>
  <si>
    <t>Projected CAGR under risk-tiered pricing (%)</t>
  </si>
  <si>
    <t>Trust corpus, FY25 (Rs Crore)</t>
  </si>
  <si>
    <t>Board-approved leverage ceiling (x times corpus)</t>
  </si>
  <si>
    <t>Actual leverage CAG found in some years (x times corpus)</t>
  </si>
  <si>
    <t>Financial Year</t>
  </si>
  <si>
    <t>Flat-Rate Exposure (Rs L Cr)</t>
  </si>
  <si>
    <t>Risk-Tiered Exposure (Rs L Cr)</t>
  </si>
  <si>
    <t>Gap = Unpriced Liability (Rs L Cr)</t>
  </si>
  <si>
    <t>Leverage-Ceiling Ref. (Rs L Cr)</t>
  </si>
  <si>
    <t>Corpus assumed (Rs Cr)</t>
  </si>
  <si>
    <t>FY25</t>
  </si>
  <si>
    <t>FY26</t>
  </si>
  <si>
    <t>FY27</t>
  </si>
  <si>
    <t>FY28</t>
  </si>
  <si>
    <t>FY29</t>
  </si>
  <si>
    <t>FY30</t>
  </si>
  <si>
    <t>FY30 exposure, flat-rate (Rs L Cr)</t>
  </si>
  <si>
    <t>FY30 exposure, risk-tiered (Rs L Cr)</t>
  </si>
  <si>
    <t>FY30 gap = unpriced contingent liability (Rs L Cr)</t>
  </si>
  <si>
    <t>Gap as % of flat-rate exposure</t>
  </si>
  <si>
    <t>1. ASSUMPTIONS</t>
  </si>
  <si>
    <t>Corpus growth rate, if ceiling line to rise (%)</t>
  </si>
  <si>
    <t>2. PROJECTION TABLE</t>
  </si>
  <si>
    <t>3. KEY NUMBERS</t>
  </si>
  <si>
    <r>
      <t>What this shows:</t>
    </r>
    <r>
      <rPr>
        <i/>
        <sz val="11"/>
        <color theme="1"/>
        <rFont val="Times New Roman"/>
        <family val="1"/>
      </rPr>
      <t xml:space="preserve"> Under CGTMSE's current flat-rate pricing, unpriced contingent liability grows to ~Rs 15.02 lakh crore by FY30 — 37% of total flat-rate exposure — versus a risk-tiered pricing structure that narrows the gap. Benchmarked against a CAG finding that CGTMSE's actual leverage hit 64x its own 10x board ceiling in 2015-16.</t>
    </r>
  </si>
  <si>
    <t>My assumption: risk-based fees raise cost for weak borrowers, moderating growth.</t>
  </si>
  <si>
    <t>Source: PIB press release, "Revamping of Credit Guarantee Scheme for MSEs w.e.f. 01.04.2023"—Union Budget FY23-24 announced Rs 9,000 Cr corpus infusion (Rs 8,000 Cr infused 30.03.2023, balance to follow).</t>
  </si>
  <si>
    <t>Source: Parliament data via Minister of State for MSMEs (reported in Opportunity India, Oct 2023)—FY22 approvals Rs 56,171 Cr → FY23 approvals Rs 1.04L Cr; ~35% reflects FY21-23 trend.</t>
  </si>
  <si>
    <t>Source: CGTMSE official blog, "Rs. 5 lakh Crore is the new beginning for CGTMSE"—cumulative guarantees crossed Rs 5L Cr on 4 Oct 2023 (FY24); FY25 base extrapolated forward.</t>
  </si>
  <si>
    <t>Source: CAG Report No. 10 of 2020, Chapter IV, para (b) "Leverage on corpus fund," p.23—Board's 6th meeting (9 Jul 2001) set leverage at ~5x corpus; 36th meeting (24 Dec 2010) temporarily raised it to 10x.</t>
  </si>
  <si>
    <t>Source: CAG Report No. 10 of 2020, Chapter IV, para (c) "Participation of CGTMSE in total outstanding credit to MSEs," p.25—funding the Kamath Committee's recommended 15% MSE-credit participation target against CGTMSE's actual corpus would have required leverage of 64.20x in FY2016-17 (vs Board's own 10x ceiling). Alt. data point: same report, Table 4.3, p.24—actual leverage on liability against outstanding guarantees was 18.62x (FY2015-16) and 19.83x (FY2016-17), also above the 10x ceiling.</t>
  </si>
  <si>
    <t>The 'leverage ceiling' line below is NOT a forecast. It answers one specific question: "If CGTMSE had stuck to its own 10x leverage rule, how much exposure could it have carried, given its FY25 corpus?"</t>
  </si>
  <si>
    <t xml:space="preserve">All figures in Rs Lakh Crore unless stated. </t>
  </si>
  <si>
    <t>Note: E18 (leverage-ceiling ref.)  and F18 (corpus) are linked with D20. At 0%, E18 stays flat at FY25 corpus x ceiling, converted to lakh crore.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</si>
</sst>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\x"/>
    <numFmt numFmtId="166" formatCode="0.0%"/>
  </numFmts>
  <fonts count="15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11"/>
      <color rgb="FF1F3864"/>
      <name val="Times New Roman"/>
      <family val="1"/>
    </font>
    <font>
      <b/>
      <sz val="11"/>
      <name val="Times New Roman"/>
      <family val="1"/>
    </font>
    <font>
      <i/>
      <sz val="11"/>
      <color rgb="FF595959"/>
      <name val="Times New Roman"/>
      <family val="1"/>
    </font>
    <font>
      <sz val="11"/>
      <color rgb="FF0000FF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0"/>
      <name val="Times New Roman"/>
      <family val="1"/>
    </font>
    <font>
      <i/>
      <sz val="11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0"/>
      <name val="Calibri"/>
      <family val="2"/>
      <charset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rgb="FF33333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8" fillId="0" borderId="0" xfId="0" applyFont="1"/>
    <xf numFmtId="0" fontId="3" fillId="0" borderId="2" xfId="0" applyFont="1" applyBorder="1"/>
    <xf numFmtId="164" fontId="5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9" fillId="0" borderId="0" xfId="0" applyFont="1"/>
    <xf numFmtId="0" fontId="6" fillId="2" borderId="1" xfId="0" applyFont="1" applyFill="1" applyBorder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2" xfId="1" applyBorder="1" applyAlignment="1">
      <alignment wrapText="1"/>
    </xf>
    <xf numFmtId="0" fontId="14" fillId="0" borderId="2" xfId="0" applyFont="1" applyBorder="1" applyAlignment="1">
      <alignment wrapText="1"/>
    </xf>
    <xf numFmtId="0" fontId="3" fillId="0" borderId="3" xfId="0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3" borderId="0" xfId="0" applyFont="1" applyFill="1" applyAlignment="1">
      <alignment horizontal="center"/>
    </xf>
    <xf numFmtId="0" fontId="9" fillId="0" borderId="2" xfId="0" applyFont="1" applyBorder="1" applyAlignment="1">
      <alignment horizontal="left"/>
    </xf>
    <xf numFmtId="0" fontId="1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8B2E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CGTMSE: Projected Guarantee Exposure, Flat vs Risk-Tiered Pricing (FY25-FY30)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'CGTMSE Projection'!$B$18</c:f>
              <c:strCache>
                <c:ptCount val="1"/>
                <c:pt idx="0">
                  <c:v>Flat-Rate Exposure (Rs L Cr)</c:v>
                </c:pt>
              </c:strCache>
            </c:strRef>
          </c:tx>
          <c:spPr>
            <a:ln w="28080">
              <a:solidFill>
                <a:srgbClr val="8B2E2E"/>
              </a:solidFill>
              <a:round/>
            </a:ln>
          </c:spPr>
          <c:marker>
            <c:symbol val="circle"/>
            <c:size val="6"/>
            <c:spPr>
              <a:solidFill>
                <a:srgbClr val="8B2E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'CGTMSE Projection'!$A$19:$A$24</c:f>
              <c:strCache>
                <c:ptCount val="6"/>
                <c:pt idx="0">
                  <c:v>FY25</c:v>
                </c:pt>
                <c:pt idx="1">
                  <c:v>FY26</c:v>
                </c:pt>
                <c:pt idx="2">
                  <c:v>FY27</c:v>
                </c:pt>
                <c:pt idx="3">
                  <c:v>FY28</c:v>
                </c:pt>
                <c:pt idx="4">
                  <c:v>FY29</c:v>
                </c:pt>
                <c:pt idx="5">
                  <c:v>FY30</c:v>
                </c:pt>
              </c:strCache>
            </c:strRef>
          </c:cat>
          <c:val>
            <c:numRef>
              <c:f>'CGTMSE Projection'!$B$19:$B$24</c:f>
              <c:numCache>
                <c:formatCode>0.00</c:formatCode>
                <c:ptCount val="6"/>
                <c:pt idx="0">
                  <c:v>9</c:v>
                </c:pt>
                <c:pt idx="1">
                  <c:v>12.15</c:v>
                </c:pt>
                <c:pt idx="2">
                  <c:v>16.4025</c:v>
                </c:pt>
                <c:pt idx="3">
                  <c:v>22.143375000000002</c:v>
                </c:pt>
                <c:pt idx="4">
                  <c:v>29.893556250000007</c:v>
                </c:pt>
                <c:pt idx="5">
                  <c:v>40.356300937500009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41-4E82-82A5-B39D47F1E6D0}"/>
            </c:ext>
          </c:extLst>
        </c:ser>
        <c:ser>
          <c:idx val="1"/>
          <c:order val="1"/>
          <c:tx>
            <c:strRef>
              <c:f>'CGTMSE Projection'!$C$18</c:f>
              <c:strCache>
                <c:ptCount val="1"/>
                <c:pt idx="0">
                  <c:v>Risk-Tiered Exposure (Rs L Cr)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'CGTMSE Projection'!$A$19:$A$24</c:f>
              <c:strCache>
                <c:ptCount val="6"/>
                <c:pt idx="0">
                  <c:v>FY25</c:v>
                </c:pt>
                <c:pt idx="1">
                  <c:v>FY26</c:v>
                </c:pt>
                <c:pt idx="2">
                  <c:v>FY27</c:v>
                </c:pt>
                <c:pt idx="3">
                  <c:v>FY28</c:v>
                </c:pt>
                <c:pt idx="4">
                  <c:v>FY29</c:v>
                </c:pt>
                <c:pt idx="5">
                  <c:v>FY30</c:v>
                </c:pt>
              </c:strCache>
            </c:strRef>
          </c:cat>
          <c:val>
            <c:numRef>
              <c:f>'CGTMSE Projection'!$C$19:$C$24</c:f>
              <c:numCache>
                <c:formatCode>0.00</c:formatCode>
                <c:ptCount val="6"/>
                <c:pt idx="0">
                  <c:v>9</c:v>
                </c:pt>
                <c:pt idx="1">
                  <c:v>11.07</c:v>
                </c:pt>
                <c:pt idx="2">
                  <c:v>13.616099999999999</c:v>
                </c:pt>
                <c:pt idx="3">
                  <c:v>16.747802999999998</c:v>
                </c:pt>
                <c:pt idx="4">
                  <c:v>20.599797689999995</c:v>
                </c:pt>
                <c:pt idx="5">
                  <c:v>25.337751158699994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41-4E82-82A5-B39D47F1E6D0}"/>
            </c:ext>
          </c:extLst>
        </c:ser>
        <c:ser>
          <c:idx val="2"/>
          <c:order val="2"/>
          <c:tx>
            <c:strRef>
              <c:f>'CGTMSE Projection'!$E$18</c:f>
              <c:strCache>
                <c:ptCount val="1"/>
                <c:pt idx="0">
                  <c:v>Leverage-Ceiling Ref. (Rs L Cr)</c:v>
                </c:pt>
              </c:strCache>
            </c:strRef>
          </c:tx>
          <c:spPr>
            <a:ln w="1404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'CGTMSE Projection'!$A$19:$A$24</c:f>
              <c:strCache>
                <c:ptCount val="6"/>
                <c:pt idx="0">
                  <c:v>FY25</c:v>
                </c:pt>
                <c:pt idx="1">
                  <c:v>FY26</c:v>
                </c:pt>
                <c:pt idx="2">
                  <c:v>FY27</c:v>
                </c:pt>
                <c:pt idx="3">
                  <c:v>FY28</c:v>
                </c:pt>
                <c:pt idx="4">
                  <c:v>FY29</c:v>
                </c:pt>
                <c:pt idx="5">
                  <c:v>FY30</c:v>
                </c:pt>
              </c:strCache>
            </c:strRef>
          </c:cat>
          <c:val>
            <c:numRef>
              <c:f>'CGTMSE Projection'!$E$19:$E$24</c:f>
              <c:numCache>
                <c:formatCode>0.00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41-4E82-82A5-B39D47F1E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415496"/>
        <c:axId val="97651016"/>
      </c:lineChart>
      <c:catAx>
        <c:axId val="97415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51016"/>
        <c:crosses val="autoZero"/>
        <c:auto val="1"/>
        <c:lblAlgn val="ctr"/>
        <c:lblOffset val="100"/>
        <c:noMultiLvlLbl val="0"/>
      </c:catAx>
      <c:valAx>
        <c:axId val="97651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Cumulative Guarantee Exposure (Rs Lakh Crore)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154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376518</xdr:colOff>
      <xdr:row>35</xdr:row>
      <xdr:rowOff>97807</xdr:rowOff>
    </xdr:from>
    <xdr:to>
      <xdr:col>3</xdr:col>
      <xdr:colOff>1609652</xdr:colOff>
      <xdr:row>55</xdr:row>
      <xdr:rowOff>47528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ib.gov.in/PressReleaseIframePage.aspx?PRID=1912500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entrepreneurindia.com/blog/en/article/cgtmse-empowers-76-lakh-mses-with-inr-5-lakh-crore-cumulative-loan-guarantee.55181" TargetMode="External"/><Relationship Id="rId1" Type="http://schemas.openxmlformats.org/officeDocument/2006/relationships/hyperlink" Target="https://www.cgtmse.in/Blogs/VS/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ag.gov.in/uploads/download_audit_report/2020/08%20Chapter%204-of-10-2020-05f809740affa86.90901428.pdf" TargetMode="External"/><Relationship Id="rId4" Type="http://schemas.openxmlformats.org/officeDocument/2006/relationships/hyperlink" Target="https://cag.gov.in/uploads/download_audit_report/2020/08%20Chapter%204-of-10-2020-05f809740affa86.9090142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zoomScale="85" zoomScaleNormal="85" workbookViewId="0">
      <selection activeCell="C33" sqref="C33"/>
    </sheetView>
  </sheetViews>
  <sheetFormatPr defaultColWidth="8.6640625" defaultRowHeight="13.8" x14ac:dyDescent="0.25"/>
  <cols>
    <col min="1" max="1" width="67.109375" style="1" customWidth="1"/>
    <col min="2" max="2" width="27.44140625" style="1" customWidth="1"/>
    <col min="3" max="3" width="67" style="1" customWidth="1"/>
    <col min="4" max="4" width="32" style="1" bestFit="1" customWidth="1"/>
    <col min="5" max="5" width="29.77734375" style="1" bestFit="1" customWidth="1"/>
    <col min="6" max="6" width="22.77734375" style="1" bestFit="1" customWidth="1"/>
    <col min="7" max="16384" width="8.6640625" style="1"/>
  </cols>
  <sheetData>
    <row r="1" spans="1:8" ht="20.399999999999999" x14ac:dyDescent="0.35">
      <c r="A1" s="28" t="s">
        <v>0</v>
      </c>
      <c r="B1" s="28"/>
      <c r="C1" s="28"/>
      <c r="D1" s="28"/>
      <c r="E1" s="14"/>
      <c r="F1" s="14"/>
      <c r="G1" s="14"/>
      <c r="H1" s="14"/>
    </row>
    <row r="2" spans="1:8" x14ac:dyDescent="0.25">
      <c r="B2" s="7" t="s">
        <v>35</v>
      </c>
      <c r="C2" s="7"/>
      <c r="D2" s="7"/>
      <c r="E2" s="7"/>
      <c r="F2" s="7"/>
      <c r="G2" s="7"/>
      <c r="H2" s="7"/>
    </row>
    <row r="3" spans="1:8" ht="69.599999999999994" x14ac:dyDescent="0.25">
      <c r="A3" s="16" t="s">
        <v>27</v>
      </c>
      <c r="B3" s="7"/>
      <c r="C3" s="7"/>
      <c r="D3" s="7"/>
      <c r="E3" s="7"/>
      <c r="F3" s="7"/>
      <c r="G3" s="7"/>
      <c r="H3" s="7"/>
    </row>
    <row r="5" spans="1:8" ht="15.6" x14ac:dyDescent="0.3">
      <c r="A5" s="12" t="s">
        <v>23</v>
      </c>
    </row>
    <row r="6" spans="1:8" ht="43.2" x14ac:dyDescent="0.3">
      <c r="A6" s="19" t="s">
        <v>1</v>
      </c>
      <c r="B6" s="20">
        <v>9</v>
      </c>
      <c r="C6" s="17" t="s">
        <v>31</v>
      </c>
    </row>
    <row r="7" spans="1:8" ht="43.2" x14ac:dyDescent="0.3">
      <c r="A7" s="19" t="s">
        <v>2</v>
      </c>
      <c r="B7" s="21">
        <v>35</v>
      </c>
      <c r="C7" s="17" t="s">
        <v>30</v>
      </c>
    </row>
    <row r="8" spans="1:8" ht="27.6" x14ac:dyDescent="0.25">
      <c r="A8" s="19" t="s">
        <v>3</v>
      </c>
      <c r="B8" s="21">
        <v>23</v>
      </c>
      <c r="C8" s="18" t="s">
        <v>28</v>
      </c>
    </row>
    <row r="9" spans="1:8" ht="43.2" x14ac:dyDescent="0.3">
      <c r="A9" s="19" t="s">
        <v>4</v>
      </c>
      <c r="B9" s="22">
        <v>9000</v>
      </c>
      <c r="C9" s="17" t="s">
        <v>29</v>
      </c>
    </row>
    <row r="10" spans="1:8" ht="43.2" x14ac:dyDescent="0.3">
      <c r="A10" s="19" t="s">
        <v>5</v>
      </c>
      <c r="B10" s="23">
        <v>10</v>
      </c>
      <c r="C10" s="17" t="s">
        <v>32</v>
      </c>
    </row>
    <row r="11" spans="1:8" ht="100.8" x14ac:dyDescent="0.3">
      <c r="A11" s="19" t="s">
        <v>6</v>
      </c>
      <c r="B11" s="23">
        <v>64</v>
      </c>
      <c r="C11" s="17" t="s">
        <v>33</v>
      </c>
    </row>
    <row r="12" spans="1:8" x14ac:dyDescent="0.25">
      <c r="A12" s="2"/>
    </row>
    <row r="13" spans="1:8" ht="41.4" x14ac:dyDescent="0.25">
      <c r="A13" s="24" t="s">
        <v>34</v>
      </c>
      <c r="B13" s="3"/>
      <c r="C13" s="3"/>
      <c r="D13" s="3"/>
      <c r="E13" s="3"/>
      <c r="F13" s="3"/>
      <c r="G13" s="3"/>
      <c r="H13" s="3"/>
    </row>
    <row r="15" spans="1:8" ht="15.6" x14ac:dyDescent="0.3">
      <c r="A15" s="25" t="s">
        <v>24</v>
      </c>
      <c r="B15" s="26"/>
      <c r="C15" s="27"/>
      <c r="D15" s="9">
        <v>0</v>
      </c>
      <c r="E15" s="3"/>
    </row>
    <row r="17" spans="1:6" ht="15.6" x14ac:dyDescent="0.3">
      <c r="A17" s="12" t="s">
        <v>25</v>
      </c>
    </row>
    <row r="18" spans="1:6" x14ac:dyDescent="0.25">
      <c r="A18" s="13" t="s">
        <v>7</v>
      </c>
      <c r="B18" s="13" t="s">
        <v>8</v>
      </c>
      <c r="C18" s="13" t="s">
        <v>9</v>
      </c>
      <c r="D18" s="13" t="s">
        <v>10</v>
      </c>
      <c r="E18" s="13" t="s">
        <v>11</v>
      </c>
      <c r="F18" s="13" t="s">
        <v>12</v>
      </c>
    </row>
    <row r="19" spans="1:6" x14ac:dyDescent="0.25">
      <c r="A19" s="4" t="s">
        <v>13</v>
      </c>
      <c r="B19" s="5">
        <f>$B$6</f>
        <v>9</v>
      </c>
      <c r="C19" s="5">
        <f>$B$6</f>
        <v>9</v>
      </c>
      <c r="D19" s="5">
        <f t="shared" ref="D19:D24" si="0">B19-C19</f>
        <v>0</v>
      </c>
      <c r="E19" s="5">
        <f t="shared" ref="E19:E24" si="1">F19*$B$10/100000</f>
        <v>0.9</v>
      </c>
      <c r="F19" s="6">
        <f>$B$9</f>
        <v>9000</v>
      </c>
    </row>
    <row r="20" spans="1:6" x14ac:dyDescent="0.25">
      <c r="A20" s="4" t="s">
        <v>14</v>
      </c>
      <c r="B20" s="5">
        <f>B19*(1+$B$7/100)</f>
        <v>12.15</v>
      </c>
      <c r="C20" s="5">
        <f>C19*(1+$B$8/100)</f>
        <v>11.07</v>
      </c>
      <c r="D20" s="5">
        <f t="shared" si="0"/>
        <v>1.08</v>
      </c>
      <c r="E20" s="5">
        <f t="shared" si="1"/>
        <v>0.9</v>
      </c>
      <c r="F20" s="6">
        <f>F19*(1+$D$15/100)</f>
        <v>9000</v>
      </c>
    </row>
    <row r="21" spans="1:6" x14ac:dyDescent="0.25">
      <c r="A21" s="4" t="s">
        <v>15</v>
      </c>
      <c r="B21" s="5">
        <f>B20*(1+$B$7/100)</f>
        <v>16.4025</v>
      </c>
      <c r="C21" s="5">
        <f>C20*(1+$B$8/100)</f>
        <v>13.616099999999999</v>
      </c>
      <c r="D21" s="5">
        <f t="shared" si="0"/>
        <v>2.7864000000000004</v>
      </c>
      <c r="E21" s="5">
        <f t="shared" si="1"/>
        <v>0.9</v>
      </c>
      <c r="F21" s="6">
        <f>F20*(1+$D$15/100)</f>
        <v>9000</v>
      </c>
    </row>
    <row r="22" spans="1:6" x14ac:dyDescent="0.25">
      <c r="A22" s="4" t="s">
        <v>16</v>
      </c>
      <c r="B22" s="5">
        <f>B21*(1+$B$7/100)</f>
        <v>22.143375000000002</v>
      </c>
      <c r="C22" s="5">
        <f>C21*(1+$B$8/100)</f>
        <v>16.747802999999998</v>
      </c>
      <c r="D22" s="5">
        <f t="shared" si="0"/>
        <v>5.3955720000000049</v>
      </c>
      <c r="E22" s="5">
        <f t="shared" si="1"/>
        <v>0.9</v>
      </c>
      <c r="F22" s="6">
        <f>F21*(1+$D$15/100)</f>
        <v>9000</v>
      </c>
    </row>
    <row r="23" spans="1:6" x14ac:dyDescent="0.25">
      <c r="A23" s="4" t="s">
        <v>17</v>
      </c>
      <c r="B23" s="5">
        <f>B22*(1+$B$7/100)</f>
        <v>29.893556250000007</v>
      </c>
      <c r="C23" s="5">
        <f>C22*(1+$B$8/100)</f>
        <v>20.599797689999995</v>
      </c>
      <c r="D23" s="5">
        <f t="shared" si="0"/>
        <v>9.2937585600000112</v>
      </c>
      <c r="E23" s="5">
        <f t="shared" si="1"/>
        <v>0.9</v>
      </c>
      <c r="F23" s="6">
        <f>F22*(1+$D$15/100)</f>
        <v>9000</v>
      </c>
    </row>
    <row r="24" spans="1:6" x14ac:dyDescent="0.25">
      <c r="A24" s="4" t="s">
        <v>18</v>
      </c>
      <c r="B24" s="5">
        <f>B23*(1+$B$7/100)</f>
        <v>40.356300937500009</v>
      </c>
      <c r="C24" s="5">
        <f>C23*(1+$B$8/100)</f>
        <v>25.337751158699994</v>
      </c>
      <c r="D24" s="5">
        <f t="shared" si="0"/>
        <v>15.018549778800015</v>
      </c>
      <c r="E24" s="5">
        <f t="shared" si="1"/>
        <v>0.9</v>
      </c>
      <c r="F24" s="6">
        <f>F23*(1+$D$15/100)</f>
        <v>9000</v>
      </c>
    </row>
    <row r="26" spans="1:6" ht="27.6" x14ac:dyDescent="0.25">
      <c r="A26" s="30" t="s">
        <v>36</v>
      </c>
      <c r="B26" s="15"/>
      <c r="C26" s="15"/>
      <c r="D26" s="15"/>
      <c r="E26" s="15"/>
      <c r="F26" s="15"/>
    </row>
    <row r="27" spans="1:6" x14ac:dyDescent="0.25">
      <c r="A27" s="15"/>
      <c r="B27" s="15"/>
      <c r="C27" s="15"/>
      <c r="D27" s="15"/>
      <c r="E27" s="15"/>
      <c r="F27" s="15"/>
    </row>
    <row r="29" spans="1:6" ht="15.6" x14ac:dyDescent="0.3">
      <c r="A29" s="29" t="s">
        <v>26</v>
      </c>
      <c r="B29" s="29"/>
      <c r="C29" s="12"/>
      <c r="D29" s="12"/>
    </row>
    <row r="30" spans="1:6" x14ac:dyDescent="0.25">
      <c r="A30" s="8" t="s">
        <v>19</v>
      </c>
      <c r="B30" s="10">
        <f>B24</f>
        <v>40.356300937500009</v>
      </c>
    </row>
    <row r="31" spans="1:6" x14ac:dyDescent="0.25">
      <c r="A31" s="8" t="s">
        <v>20</v>
      </c>
      <c r="B31" s="10">
        <f>C24</f>
        <v>25.337751158699994</v>
      </c>
    </row>
    <row r="32" spans="1:6" x14ac:dyDescent="0.25">
      <c r="A32" s="8" t="s">
        <v>21</v>
      </c>
      <c r="B32" s="10">
        <f>D24</f>
        <v>15.018549778800015</v>
      </c>
    </row>
    <row r="33" spans="1:2" x14ac:dyDescent="0.25">
      <c r="A33" s="8" t="s">
        <v>22</v>
      </c>
      <c r="B33" s="11">
        <f>D24/B24</f>
        <v>0.37214882013243267</v>
      </c>
    </row>
  </sheetData>
  <mergeCells count="3">
    <mergeCell ref="A15:C15"/>
    <mergeCell ref="A1:D1"/>
    <mergeCell ref="A29:B29"/>
  </mergeCells>
  <hyperlinks>
    <hyperlink ref="C6" r:id="rId1" display="Source: CGTMSE official blog, &quot;Rs. 5 lakh Crore is the new beginning for CGTMSE&quot; — cumulative guarantees crossed Rs 5L Cr on 4 Oct 2023 (FY24); FY25 base extrapolated forward." xr:uid="{36D7D249-876C-4C63-AF3F-C8F532BFA3B1}"/>
    <hyperlink ref="C7" r:id="rId2" display="Source: Parliament data via Minister of State for MSMEs (reported in Opportunity India, Oct 2023) — FY22 approvals Rs 56,171 Cr → FY23 approvals Rs 1.04L Cr; ~35% reflects FY21-23 trend." xr:uid="{836F4600-B14D-4ABE-8866-125AC8DEEE06}"/>
    <hyperlink ref="C9" r:id="rId3" xr:uid="{BAB096A6-7851-43D8-B0DB-341A2EED6CAE}"/>
    <hyperlink ref="C10" r:id="rId4" xr:uid="{03F9D4C1-7496-410F-8566-F3C45D95EDFF}"/>
    <hyperlink ref="C11" r:id="rId5" display="Source: CAG Report No. 10 of 2020, Chapter IV, para (c) &quot;Participation of CGTMSE in total outstanding credit to MSEs,&quot; p.25 — funding the Kamath Committee's recommended 15% MSE-credit participation target against CGTMSE's actual corpus would have required leverage of 64.20x in FY2016-17 (vs Board's own 10x ceiling). Alt. data point: same report, Table 4.3, p.24 — actual leverage on liability against outstanding guarantees was 18.62x (FY2015-16) and 19.83x (FY2016-17), also above the 10x ceiling." xr:uid="{5B8620BA-50F3-4CE8-A0F8-7E089D7D0D97}"/>
  </hyperlinks>
  <pageMargins left="0.75" right="0.75" top="1" bottom="1" header="0.511811023622047" footer="0.511811023622047"/>
  <pageSetup paperSize="9" orientation="portrait" horizontalDpi="300" verticalDpi="30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CGTMSE Projection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Shaurya Vijay Sinha</cp:lastModifiedBy>
  <cp:revision>1</cp:revision>
  <dcterms:created xsi:type="dcterms:W3CDTF">2026-06-20T19:03:42Z</dcterms:created>
  <dcterms:modified xsi:type="dcterms:W3CDTF">2026-08-23T19:37:46Z</dcterms:modified>
  <cp:category/>
  <cp:contentStatus/>
</cp:coreProperties>
</file>